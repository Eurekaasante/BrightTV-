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onicsza-my.sharepoint.com/personal/kometsi_khotlele_progo_co_za/Documents/Desktop/"/>
    </mc:Choice>
  </mc:AlternateContent>
  <xr:revisionPtr revIDLastSave="105" documentId="8_{3AC1EC33-A2B5-41E6-AA3D-482008A89BBA}" xr6:coauthVersionLast="47" xr6:coauthVersionMax="47" xr10:uidLastSave="{78576263-FBF5-4BC1-A17C-272E037EE59E}"/>
  <bookViews>
    <workbookView xWindow="-108" yWindow="-108" windowWidth="23256" windowHeight="13896" tabRatio="690" activeTab="2" xr2:uid="{2BB2155A-7517-46BB-9C64-137CBE5EF389}"/>
  </bookViews>
  <sheets>
    <sheet name="ChannelViews by AgeCohort" sheetId="1" r:id="rId1"/>
    <sheet name="Rce by Time of Day" sheetId="8" r:id="rId2"/>
    <sheet name="Daily Engagements" sheetId="4" r:id="rId3"/>
    <sheet name="Sheet9" sheetId="10" r:id="rId4"/>
    <sheet name="Channel by race" sheetId="5" r:id="rId5"/>
    <sheet name="View Trends by Age Cohort" sheetId="6" r:id="rId6"/>
    <sheet name="TimeViewership by Race" sheetId="7" r:id="rId7"/>
    <sheet name="ChannelView by Gender" sheetId="2" r:id="rId8"/>
    <sheet name="Primetime by Province" sheetId="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chart.v1.0" hidden="1">[5]Biz_Question_Age_ViewType_Distr!$A$2:$A$7</definedName>
    <definedName name="_xlchart.v1.1" hidden="1">[5]Biz_Question_Age_ViewType_Distr!$B$1</definedName>
    <definedName name="_xlchart.v1.2" hidden="1">[5]Biz_Question_Age_ViewType_Distr!$B$2:$B$7</definedName>
    <definedName name="_xlchart.v1.3" hidden="1">[5]Biz_Question_Age_ViewType_Distr!$C$1</definedName>
    <definedName name="_xlchart.v1.4" hidden="1">[5]Biz_Question_Age_ViewType_Distr!$C$2:$C$7</definedName>
    <definedName name="_xlchart.v1.5" hidden="1">[5]Biz_Question_Age_ViewType_Distr!$D$1</definedName>
    <definedName name="_xlchart.v1.6" hidden="1">[5]Biz_Question_Age_ViewType_Distr!$D$2:$D$7</definedName>
    <definedName name="_xlchart.v1.7" hidden="1">[5]Biz_Question_Age_ViewType_Distr!$E$1</definedName>
    <definedName name="_xlchart.v1.8" hidden="1">[5]Biz_Question_Age_ViewType_Distr!$E$2:$E$7</definedName>
    <definedName name="_xlnm.Print_Area" localSheetId="0">'ChannelViews by AgeCohort'!$A$1:$G$21</definedName>
  </definedNames>
  <calcPr calcId="0"/>
  <pivotCaches>
    <pivotCache cacheId="60" r:id="rId16"/>
  </pivotCaches>
</workbook>
</file>

<file path=xl/sharedStrings.xml><?xml version="1.0" encoding="utf-8"?>
<sst xmlns="http://schemas.openxmlformats.org/spreadsheetml/2006/main" count="140" uniqueCount="77">
  <si>
    <t>Channel2</t>
  </si>
  <si>
    <t>Kids</t>
  </si>
  <si>
    <t>Mature_Adults</t>
  </si>
  <si>
    <t>Senior</t>
  </si>
  <si>
    <t>Unknown</t>
  </si>
  <si>
    <t>Young_Adult</t>
  </si>
  <si>
    <t>Youth</t>
  </si>
  <si>
    <t>AfricaMagic</t>
  </si>
  <si>
    <t>Boomerang</t>
  </si>
  <si>
    <t>BreakInTransmission</t>
  </si>
  <si>
    <t>CartoonNetwork</t>
  </si>
  <si>
    <t>ChannelO</t>
  </si>
  <si>
    <t>Cnn</t>
  </si>
  <si>
    <t>DstvEvents1</t>
  </si>
  <si>
    <t>E!Entertainment</t>
  </si>
  <si>
    <t>IccCricketWorldCup2011</t>
  </si>
  <si>
    <t>Kyknet</t>
  </si>
  <si>
    <t>LiveOnSupersport</t>
  </si>
  <si>
    <t>M-net</t>
  </si>
  <si>
    <t>Mk</t>
  </si>
  <si>
    <t>Sawsee</t>
  </si>
  <si>
    <t>SupersportBlitz</t>
  </si>
  <si>
    <t>SupersportLiveEvents</t>
  </si>
  <si>
    <t>TraceTv</t>
  </si>
  <si>
    <t>Vuzu</t>
  </si>
  <si>
    <t>Wimbledon</t>
  </si>
  <si>
    <t>female</t>
  </si>
  <si>
    <t>male</t>
  </si>
  <si>
    <t>TimeOfDay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</si>
  <si>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</si>
  <si>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</si>
  <si>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</si>
  <si>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</si>
  <si>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</si>
  <si>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</si>
  <si>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</si>
  <si>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</si>
  <si>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western cape</t>
  </si>
  <si>
    <t>Afternoon</t>
  </si>
  <si>
    <t>Evening/Prime</t>
  </si>
  <si>
    <t>Morning</t>
  </si>
  <si>
    <t>Night</t>
  </si>
  <si>
    <t>DayOfWeek</t>
  </si>
  <si>
    <t>Mon</t>
  </si>
  <si>
    <t>Tue</t>
  </si>
  <si>
    <t>Wed</t>
  </si>
  <si>
    <t>Thu</t>
  </si>
  <si>
    <t>Fri</t>
  </si>
  <si>
    <t>Sat</t>
  </si>
  <si>
    <t>Sun</t>
  </si>
  <si>
    <t>black</t>
  </si>
  <si>
    <t>coloured</t>
  </si>
  <si>
    <t>indian_asian</t>
  </si>
  <si>
    <t>other</t>
  </si>
  <si>
    <t>white</t>
  </si>
  <si>
    <t>AgeGroup</t>
  </si>
  <si>
    <t>Invalid Duration</t>
  </si>
  <si>
    <t>Long</t>
  </si>
  <si>
    <t>Medium</t>
  </si>
  <si>
    <t>Short</t>
  </si>
  <si>
    <t>Race</t>
  </si>
  <si>
    <t>Black</t>
  </si>
  <si>
    <t>Indian/Asian</t>
  </si>
  <si>
    <t>Coloured</t>
  </si>
  <si>
    <t>White</t>
  </si>
  <si>
    <t>Other</t>
  </si>
  <si>
    <t>Monday</t>
  </si>
  <si>
    <t>Tuesday</t>
  </si>
  <si>
    <t>Wednesday</t>
  </si>
  <si>
    <t>Thursday</t>
  </si>
  <si>
    <t>Friday</t>
  </si>
  <si>
    <t>Saturday</t>
  </si>
  <si>
    <t>Sunday</t>
  </si>
  <si>
    <t>Count of Avg. Seconds per Session</t>
  </si>
  <si>
    <t>Row Labels</t>
  </si>
  <si>
    <t>Grand Total</t>
  </si>
  <si>
    <t>Sum of Number of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</si>
</sst>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33" borderId="10" xfId="0" applyFill="1" applyBorder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0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0" fontId="19" fillId="0" borderId="19" xfId="0" applyFont="1" applyBorder="1" applyAlignment="1">
      <alignment horizontal="left" vertical="center" wrapText="1" indent="1" readingOrder="1"/>
    </xf>
    <xf numFmtId="0" fontId="19" fillId="0" borderId="19" xfId="0" applyFont="1" applyBorder="1" applyAlignment="1">
      <alignment vertical="center" wrapText="1" readingOrder="1"/>
    </xf>
    <xf numFmtId="0" fontId="18" fillId="0" borderId="19" xfId="0" applyFont="1" applyBorder="1" applyAlignment="1">
      <alignment horizontal="left" vertical="center" wrapText="1" indent="1" readingOrder="1"/>
    </xf>
    <xf numFmtId="0" fontId="18" fillId="0" borderId="19" xfId="0" applyFont="1" applyBorder="1" applyAlignment="1">
      <alignment vertical="center" wrapText="1" readingOrder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</a:t>
            </a:r>
            <a:r>
              <a:rPr lang="en-ZA" baseline="0"/>
              <a:t> VIEW BY AGE COHORT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66123954637372E-2"/>
          <c:y val="0.1252039627039627"/>
          <c:w val="0.9094870902190848"/>
          <c:h val="0.564982425710772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'ChannelViews by AgeCohort'!$B$1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'ChannelViews by AgeCohort'!$A$2:$A$21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'ChannelViews by AgeCohort'!$B$2:$B$21</c:f>
              <c:numCache>
                <c:formatCode>General</c:formatCode>
                <c:ptCount val="20"/>
                <c:pt idx="0">
                  <c:v>499</c:v>
                </c:pt>
                <c:pt idx="1">
                  <c:v>595</c:v>
                </c:pt>
                <c:pt idx="2">
                  <c:v>0</c:v>
                </c:pt>
                <c:pt idx="3">
                  <c:v>117</c:v>
                </c:pt>
                <c:pt idx="4">
                  <c:v>5061</c:v>
                </c:pt>
                <c:pt idx="5">
                  <c:v>141</c:v>
                </c:pt>
                <c:pt idx="6">
                  <c:v>165</c:v>
                </c:pt>
                <c:pt idx="7">
                  <c:v>620</c:v>
                </c:pt>
                <c:pt idx="8">
                  <c:v>40056</c:v>
                </c:pt>
                <c:pt idx="9">
                  <c:v>0</c:v>
                </c:pt>
                <c:pt idx="10">
                  <c:v>0</c:v>
                </c:pt>
                <c:pt idx="11">
                  <c:v>203</c:v>
                </c:pt>
                <c:pt idx="12">
                  <c:v>42</c:v>
                </c:pt>
                <c:pt idx="13">
                  <c:v>221</c:v>
                </c:pt>
                <c:pt idx="14">
                  <c:v>1496</c:v>
                </c:pt>
                <c:pt idx="15">
                  <c:v>5204</c:v>
                </c:pt>
                <c:pt idx="16">
                  <c:v>11586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3-481B-BC35-87A69D35CAA8}"/>
            </c:ext>
          </c:extLst>
        </c:ser>
        <c:ser>
          <c:idx val="1"/>
          <c:order val="1"/>
          <c:tx>
            <c:strRef>
              <c:f>'ChannelViews by AgeCohort'!$C$1</c:f>
              <c:strCache>
                <c:ptCount val="1"/>
                <c:pt idx="0">
                  <c:v>Mature_Adults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'ChannelViews by AgeCohort'!$A$2:$A$21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'ChannelViews by AgeCohort'!$C$2:$C$21</c:f>
              <c:numCache>
                <c:formatCode>General</c:formatCode>
                <c:ptCount val="20"/>
                <c:pt idx="0">
                  <c:v>81056</c:v>
                </c:pt>
                <c:pt idx="1">
                  <c:v>90075</c:v>
                </c:pt>
                <c:pt idx="2">
                  <c:v>552</c:v>
                </c:pt>
                <c:pt idx="3">
                  <c:v>104348</c:v>
                </c:pt>
                <c:pt idx="4">
                  <c:v>184704</c:v>
                </c:pt>
                <c:pt idx="5">
                  <c:v>153019</c:v>
                </c:pt>
                <c:pt idx="6">
                  <c:v>5480</c:v>
                </c:pt>
                <c:pt idx="7">
                  <c:v>38292</c:v>
                </c:pt>
                <c:pt idx="8">
                  <c:v>515250</c:v>
                </c:pt>
                <c:pt idx="9">
                  <c:v>2247</c:v>
                </c:pt>
                <c:pt idx="10">
                  <c:v>210</c:v>
                </c:pt>
                <c:pt idx="11">
                  <c:v>5924</c:v>
                </c:pt>
                <c:pt idx="12">
                  <c:v>645</c:v>
                </c:pt>
                <c:pt idx="13">
                  <c:v>15982</c:v>
                </c:pt>
                <c:pt idx="14">
                  <c:v>144495</c:v>
                </c:pt>
                <c:pt idx="15">
                  <c:v>424748</c:v>
                </c:pt>
                <c:pt idx="16">
                  <c:v>152829</c:v>
                </c:pt>
                <c:pt idx="17">
                  <c:v>0</c:v>
                </c:pt>
                <c:pt idx="18">
                  <c:v>1632</c:v>
                </c:pt>
                <c:pt idx="1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3-481B-BC35-87A69D35CAA8}"/>
            </c:ext>
          </c:extLst>
        </c:ser>
        <c:ser>
          <c:idx val="2"/>
          <c:order val="2"/>
          <c:tx>
            <c:strRef>
              <c:f>'ChannelViews by AgeCohort'!$D$1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'ChannelViews by AgeCohort'!$A$2:$A$21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'ChannelViews by AgeCohort'!$D$2:$D$21</c:f>
              <c:numCache>
                <c:formatCode>General</c:formatCode>
                <c:ptCount val="20"/>
                <c:pt idx="0">
                  <c:v>7916</c:v>
                </c:pt>
                <c:pt idx="1">
                  <c:v>8454</c:v>
                </c:pt>
                <c:pt idx="2">
                  <c:v>493</c:v>
                </c:pt>
                <c:pt idx="3">
                  <c:v>3788</c:v>
                </c:pt>
                <c:pt idx="4">
                  <c:v>16179</c:v>
                </c:pt>
                <c:pt idx="5">
                  <c:v>32570</c:v>
                </c:pt>
                <c:pt idx="6">
                  <c:v>710</c:v>
                </c:pt>
                <c:pt idx="7">
                  <c:v>7700</c:v>
                </c:pt>
                <c:pt idx="8">
                  <c:v>45976</c:v>
                </c:pt>
                <c:pt idx="9">
                  <c:v>1869</c:v>
                </c:pt>
                <c:pt idx="10">
                  <c:v>72</c:v>
                </c:pt>
                <c:pt idx="11">
                  <c:v>622</c:v>
                </c:pt>
                <c:pt idx="12">
                  <c:v>151</c:v>
                </c:pt>
                <c:pt idx="13">
                  <c:v>643</c:v>
                </c:pt>
                <c:pt idx="14">
                  <c:v>30384</c:v>
                </c:pt>
                <c:pt idx="15">
                  <c:v>43958</c:v>
                </c:pt>
                <c:pt idx="16">
                  <c:v>23910</c:v>
                </c:pt>
                <c:pt idx="17">
                  <c:v>0</c:v>
                </c:pt>
                <c:pt idx="18">
                  <c:v>126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E3-481B-BC35-87A69D35CAA8}"/>
            </c:ext>
          </c:extLst>
        </c:ser>
        <c:ser>
          <c:idx val="3"/>
          <c:order val="3"/>
          <c:tx>
            <c:strRef>
              <c:f>'ChannelViews by AgeCohort'!$E$1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'ChannelViews by AgeCohort'!$A$2:$A$21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'ChannelViews by AgeCohort'!$E$2:$E$21</c:f>
              <c:numCache>
                <c:formatCode>General</c:formatCode>
                <c:ptCount val="20"/>
                <c:pt idx="0">
                  <c:v>2947</c:v>
                </c:pt>
                <c:pt idx="1">
                  <c:v>7742</c:v>
                </c:pt>
                <c:pt idx="2">
                  <c:v>46</c:v>
                </c:pt>
                <c:pt idx="3">
                  <c:v>5835</c:v>
                </c:pt>
                <c:pt idx="4">
                  <c:v>22464</c:v>
                </c:pt>
                <c:pt idx="5">
                  <c:v>3913</c:v>
                </c:pt>
                <c:pt idx="6">
                  <c:v>1020</c:v>
                </c:pt>
                <c:pt idx="7">
                  <c:v>3028</c:v>
                </c:pt>
                <c:pt idx="8">
                  <c:v>56748</c:v>
                </c:pt>
                <c:pt idx="9">
                  <c:v>405</c:v>
                </c:pt>
                <c:pt idx="10">
                  <c:v>0</c:v>
                </c:pt>
                <c:pt idx="11">
                  <c:v>394</c:v>
                </c:pt>
                <c:pt idx="12">
                  <c:v>523</c:v>
                </c:pt>
                <c:pt idx="13">
                  <c:v>928</c:v>
                </c:pt>
                <c:pt idx="14">
                  <c:v>7434</c:v>
                </c:pt>
                <c:pt idx="15">
                  <c:v>13534</c:v>
                </c:pt>
                <c:pt idx="16">
                  <c:v>3456</c:v>
                </c:pt>
                <c:pt idx="17">
                  <c:v>0</c:v>
                </c:pt>
                <c:pt idx="18">
                  <c:v>46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3-481B-BC35-87A69D35CAA8}"/>
            </c:ext>
          </c:extLst>
        </c:ser>
        <c:ser>
          <c:idx val="4"/>
          <c:order val="4"/>
          <c:tx>
            <c:strRef>
              <c:f>'ChannelViews by AgeCohort'!$F$1</c:f>
              <c:strCache>
                <c:ptCount val="1"/>
                <c:pt idx="0">
                  <c:v>Young_Adult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'ChannelViews by AgeCohort'!$A$2:$A$21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'ChannelViews by AgeCohort'!$F$2:$F$21</c:f>
              <c:numCache>
                <c:formatCode>General</c:formatCode>
                <c:ptCount val="20"/>
                <c:pt idx="0">
                  <c:v>80378</c:v>
                </c:pt>
                <c:pt idx="1">
                  <c:v>152389</c:v>
                </c:pt>
                <c:pt idx="2">
                  <c:v>2097</c:v>
                </c:pt>
                <c:pt idx="3">
                  <c:v>132086</c:v>
                </c:pt>
                <c:pt idx="4">
                  <c:v>448827</c:v>
                </c:pt>
                <c:pt idx="5">
                  <c:v>53748</c:v>
                </c:pt>
                <c:pt idx="6">
                  <c:v>9970</c:v>
                </c:pt>
                <c:pt idx="7">
                  <c:v>83210</c:v>
                </c:pt>
                <c:pt idx="8">
                  <c:v>817500</c:v>
                </c:pt>
                <c:pt idx="9">
                  <c:v>5223</c:v>
                </c:pt>
                <c:pt idx="10">
                  <c:v>0</c:v>
                </c:pt>
                <c:pt idx="11">
                  <c:v>6104</c:v>
                </c:pt>
                <c:pt idx="12">
                  <c:v>1092</c:v>
                </c:pt>
                <c:pt idx="13">
                  <c:v>19702</c:v>
                </c:pt>
                <c:pt idx="14">
                  <c:v>134461</c:v>
                </c:pt>
                <c:pt idx="15">
                  <c:v>638944</c:v>
                </c:pt>
                <c:pt idx="16">
                  <c:v>479286</c:v>
                </c:pt>
                <c:pt idx="17">
                  <c:v>0</c:v>
                </c:pt>
                <c:pt idx="18">
                  <c:v>3277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E3-481B-BC35-87A69D35CAA8}"/>
            </c:ext>
          </c:extLst>
        </c:ser>
        <c:ser>
          <c:idx val="5"/>
          <c:order val="5"/>
          <c:tx>
            <c:strRef>
              <c:f>'ChannelViews by AgeCohort'!$G$1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'ChannelViews by AgeCohort'!$A$2:$A$21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'ChannelViews by AgeCohort'!$G$2:$G$21</c:f>
              <c:numCache>
                <c:formatCode>General</c:formatCode>
                <c:ptCount val="20"/>
                <c:pt idx="0">
                  <c:v>2576</c:v>
                </c:pt>
                <c:pt idx="1">
                  <c:v>4478</c:v>
                </c:pt>
                <c:pt idx="2">
                  <c:v>22</c:v>
                </c:pt>
                <c:pt idx="3">
                  <c:v>6743</c:v>
                </c:pt>
                <c:pt idx="4">
                  <c:v>16686</c:v>
                </c:pt>
                <c:pt idx="5">
                  <c:v>608</c:v>
                </c:pt>
                <c:pt idx="6">
                  <c:v>60</c:v>
                </c:pt>
                <c:pt idx="7">
                  <c:v>294</c:v>
                </c:pt>
                <c:pt idx="8">
                  <c:v>8122</c:v>
                </c:pt>
                <c:pt idx="9">
                  <c:v>0</c:v>
                </c:pt>
                <c:pt idx="10">
                  <c:v>0</c:v>
                </c:pt>
                <c:pt idx="11">
                  <c:v>795</c:v>
                </c:pt>
                <c:pt idx="12">
                  <c:v>0</c:v>
                </c:pt>
                <c:pt idx="13">
                  <c:v>32</c:v>
                </c:pt>
                <c:pt idx="14">
                  <c:v>8176</c:v>
                </c:pt>
                <c:pt idx="15">
                  <c:v>2490</c:v>
                </c:pt>
                <c:pt idx="16">
                  <c:v>19860</c:v>
                </c:pt>
                <c:pt idx="17">
                  <c:v>0</c:v>
                </c:pt>
                <c:pt idx="18">
                  <c:v>58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E3-481B-BC35-87A69D35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50841119"/>
        <c:axId val="1650846879"/>
      </c:barChart>
      <c:catAx>
        <c:axId val="16508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46879"/>
        <c:crosses val="autoZero"/>
        <c:auto val="1"/>
        <c:lblAlgn val="ctr"/>
        <c:lblOffset val="100"/>
        <c:noMultiLvlLbl val="0"/>
      </c:catAx>
      <c:valAx>
        <c:axId val="165084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4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Race</a:t>
            </a:r>
            <a:r>
              <a:rPr lang="en-ZA" baseline="0"/>
              <a:t> by Time of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[6]Chart_Race_vs_TimeOfDay!$B$1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[6]Chart_Race_vs_TimeOfDay!$A$2:$A$7</c:f>
              <c:strCache>
                <c:ptCount val="6"/>
                <c:pt idx="0">
                  <c:v>Unknown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[6]Chart_Race_vs_TimeOfDay!$B$2:$B$7</c:f>
              <c:numCache>
                <c:formatCode>General</c:formatCode>
                <c:ptCount val="6"/>
                <c:pt idx="0">
                  <c:v>320</c:v>
                </c:pt>
                <c:pt idx="1">
                  <c:v>1301</c:v>
                </c:pt>
                <c:pt idx="2">
                  <c:v>514</c:v>
                </c:pt>
                <c:pt idx="3">
                  <c:v>562</c:v>
                </c:pt>
                <c:pt idx="4">
                  <c:v>35</c:v>
                </c:pt>
                <c:pt idx="5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A-4163-BB67-3A4B8A4E2CF2}"/>
            </c:ext>
          </c:extLst>
        </c:ser>
        <c:ser>
          <c:idx val="1"/>
          <c:order val="1"/>
          <c:tx>
            <c:strRef>
              <c:f>[6]Chart_Race_vs_TimeOfDay!$C$1</c:f>
              <c:strCache>
                <c:ptCount val="1"/>
                <c:pt idx="0">
                  <c:v>Evening/Prime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[6]Chart_Race_vs_TimeOfDay!$A$2:$A$7</c:f>
              <c:strCache>
                <c:ptCount val="6"/>
                <c:pt idx="0">
                  <c:v>Unknown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[6]Chart_Race_vs_TimeOfDay!$C$2:$C$7</c:f>
              <c:numCache>
                <c:formatCode>General</c:formatCode>
                <c:ptCount val="6"/>
                <c:pt idx="0">
                  <c:v>291</c:v>
                </c:pt>
                <c:pt idx="1">
                  <c:v>1358</c:v>
                </c:pt>
                <c:pt idx="2">
                  <c:v>446</c:v>
                </c:pt>
                <c:pt idx="3">
                  <c:v>312</c:v>
                </c:pt>
                <c:pt idx="4">
                  <c:v>28</c:v>
                </c:pt>
                <c:pt idx="5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A-4163-BB67-3A4B8A4E2CF2}"/>
            </c:ext>
          </c:extLst>
        </c:ser>
        <c:ser>
          <c:idx val="2"/>
          <c:order val="2"/>
          <c:tx>
            <c:strRef>
              <c:f>[6]Chart_Race_vs_TimeOfDay!$D$1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[6]Chart_Race_vs_TimeOfDay!$A$2:$A$7</c:f>
              <c:strCache>
                <c:ptCount val="6"/>
                <c:pt idx="0">
                  <c:v>Unknown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[6]Chart_Race_vs_TimeOfDay!$D$2:$D$7</c:f>
              <c:numCache>
                <c:formatCode>General</c:formatCode>
                <c:ptCount val="6"/>
                <c:pt idx="0">
                  <c:v>335</c:v>
                </c:pt>
                <c:pt idx="1">
                  <c:v>1163</c:v>
                </c:pt>
                <c:pt idx="2">
                  <c:v>485</c:v>
                </c:pt>
                <c:pt idx="3">
                  <c:v>601</c:v>
                </c:pt>
                <c:pt idx="4">
                  <c:v>29</c:v>
                </c:pt>
                <c:pt idx="5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4A-4163-BB67-3A4B8A4E2CF2}"/>
            </c:ext>
          </c:extLst>
        </c:ser>
        <c:ser>
          <c:idx val="3"/>
          <c:order val="3"/>
          <c:tx>
            <c:strRef>
              <c:f>[6]Chart_Race_vs_TimeOfDay!$E$1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[6]Chart_Race_vs_TimeOfDay!$A$2:$A$7</c:f>
              <c:strCache>
                <c:ptCount val="6"/>
                <c:pt idx="0">
                  <c:v>Unknown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[6]Chart_Race_vs_TimeOfDay!$E$2:$E$7</c:f>
              <c:numCache>
                <c:formatCode>General</c:formatCode>
                <c:ptCount val="6"/>
                <c:pt idx="0">
                  <c:v>111</c:v>
                </c:pt>
                <c:pt idx="1">
                  <c:v>509</c:v>
                </c:pt>
                <c:pt idx="2">
                  <c:v>188</c:v>
                </c:pt>
                <c:pt idx="3">
                  <c:v>100</c:v>
                </c:pt>
                <c:pt idx="4">
                  <c:v>10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4A-4163-BB67-3A4B8A4E2CF2}"/>
            </c:ext>
          </c:extLst>
        </c:ser>
        <c:ser>
          <c:idx val="4"/>
          <c:order val="4"/>
          <c:tx>
            <c:strRef>
              <c:f>[6]Chart_Race_vs_TimeOfDay!$F$1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[6]Chart_Race_vs_TimeOfDay!$A$2:$A$7</c:f>
              <c:strCache>
                <c:ptCount val="6"/>
                <c:pt idx="0">
                  <c:v>Unknown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[6]Chart_Race_vs_TimeOfDay!$F$2:$F$7</c:f>
              <c:numCache>
                <c:formatCode>General</c:formatCode>
                <c:ptCount val="6"/>
                <c:pt idx="0">
                  <c:v>538</c:v>
                </c:pt>
                <c:pt idx="1">
                  <c:v>149</c:v>
                </c:pt>
                <c:pt idx="2">
                  <c:v>26</c:v>
                </c:pt>
                <c:pt idx="3">
                  <c:v>13</c:v>
                </c:pt>
                <c:pt idx="4">
                  <c:v>6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4A-4163-BB67-3A4B8A4E2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318527"/>
        <c:axId val="1780320447"/>
      </c:barChart>
      <c:catAx>
        <c:axId val="178031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20447"/>
        <c:crosses val="autoZero"/>
        <c:auto val="1"/>
        <c:lblAlgn val="ctr"/>
        <c:lblOffset val="100"/>
        <c:noMultiLvlLbl val="0"/>
      </c:catAx>
      <c:valAx>
        <c:axId val="17803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1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/>
              <a:t>Engagement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[3]Biz_Question_Weekly_Engagement!$B$1</c:f>
              <c:strCache>
                <c:ptCount val="1"/>
                <c:pt idx="0">
                  <c:v>Afternoon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[3]Biz_Question_Weekly_Engagement!$A$2:$A$8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[3]Biz_Question_Weekly_Engagement!$B$2:$B$8</c:f>
              <c:numCache>
                <c:formatCode>General</c:formatCode>
                <c:ptCount val="7"/>
                <c:pt idx="0">
                  <c:v>144056</c:v>
                </c:pt>
                <c:pt idx="1">
                  <c:v>264834</c:v>
                </c:pt>
                <c:pt idx="2">
                  <c:v>343008</c:v>
                </c:pt>
                <c:pt idx="3">
                  <c:v>277140</c:v>
                </c:pt>
                <c:pt idx="4">
                  <c:v>359661</c:v>
                </c:pt>
                <c:pt idx="5">
                  <c:v>409062</c:v>
                </c:pt>
                <c:pt idx="6">
                  <c:v>231837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1-4944-A12D-5FD8128562D2}"/>
            </c:ext>
          </c:extLst>
        </c:ser>
        <c:ser>
          <c:idx val="1"/>
          <c:order val="1"/>
          <c:tx>
            <c:strRef>
              <c:f>[3]Biz_Question_Weekly_Engagement!$C$1</c:f>
              <c:strCache>
                <c:ptCount val="1"/>
                <c:pt idx="0">
                  <c:v>Evening/Prime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[3]Biz_Question_Weekly_Engagement!$A$2:$A$8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[3]Biz_Question_Weekly_Engagement!$C$2:$C$8</c:f>
              <c:numCache>
                <c:formatCode>General</c:formatCode>
                <c:ptCount val="7"/>
                <c:pt idx="0">
                  <c:v>83208</c:v>
                </c:pt>
                <c:pt idx="1">
                  <c:v>182769</c:v>
                </c:pt>
                <c:pt idx="2">
                  <c:v>144385</c:v>
                </c:pt>
                <c:pt idx="3">
                  <c:v>176016</c:v>
                </c:pt>
                <c:pt idx="4">
                  <c:v>246988</c:v>
                </c:pt>
                <c:pt idx="5">
                  <c:v>236225</c:v>
                </c:pt>
                <c:pt idx="6">
                  <c:v>162685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1-4944-A12D-5FD8128562D2}"/>
            </c:ext>
          </c:extLst>
        </c:ser>
        <c:ser>
          <c:idx val="2"/>
          <c:order val="2"/>
          <c:tx>
            <c:strRef>
              <c:f>[3]Biz_Question_Weekly_Engagement!$D$1</c:f>
              <c:strCache>
                <c:ptCount val="1"/>
                <c:pt idx="0">
                  <c:v>Morning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[3]Biz_Question_Weekly_Engagement!$A$2:$A$8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[3]Biz_Question_Weekly_Engagement!$D$2:$D$8</c:f>
              <c:numCache>
                <c:formatCode>General</c:formatCode>
                <c:ptCount val="7"/>
                <c:pt idx="0">
                  <c:v>123307</c:v>
                </c:pt>
                <c:pt idx="1">
                  <c:v>201916</c:v>
                </c:pt>
                <c:pt idx="2">
                  <c:v>302034</c:v>
                </c:pt>
                <c:pt idx="3">
                  <c:v>290769</c:v>
                </c:pt>
                <c:pt idx="4">
                  <c:v>225220</c:v>
                </c:pt>
                <c:pt idx="5">
                  <c:v>327787</c:v>
                </c:pt>
                <c:pt idx="6">
                  <c:v>234668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1-4944-A12D-5FD8128562D2}"/>
            </c:ext>
          </c:extLst>
        </c:ser>
        <c:ser>
          <c:idx val="3"/>
          <c:order val="3"/>
          <c:tx>
            <c:strRef>
              <c:f>[3]Biz_Question_Weekly_Engagement!$E$1</c:f>
              <c:strCache>
                <c:ptCount val="1"/>
                <c:pt idx="0">
                  <c:v>Night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[3]Biz_Question_Weekly_Engagement!$A$2:$A$8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[3]Biz_Question_Weekly_Engagement!$E$2:$E$8</c:f>
              <c:numCache>
                <c:formatCode>General</c:formatCode>
                <c:ptCount val="7"/>
                <c:pt idx="0">
                  <c:v>72919</c:v>
                </c:pt>
                <c:pt idx="1">
                  <c:v>69178</c:v>
                </c:pt>
                <c:pt idx="2">
                  <c:v>55099</c:v>
                </c:pt>
                <c:pt idx="3">
                  <c:v>93951</c:v>
                </c:pt>
                <c:pt idx="4">
                  <c:v>66444</c:v>
                </c:pt>
                <c:pt idx="5">
                  <c:v>103660</c:v>
                </c:pt>
                <c:pt idx="6">
                  <c:v>53977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1-4944-A12D-5FD812856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888943"/>
        <c:axId val="919889423"/>
      </c:lineChart>
      <c:catAx>
        <c:axId val="9198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89423"/>
        <c:crosses val="autoZero"/>
        <c:auto val="1"/>
        <c:lblAlgn val="ctr"/>
        <c:lblOffset val="100"/>
        <c:noMultiLvlLbl val="0"/>
      </c:catAx>
      <c:valAx>
        <c:axId val="91988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[Consolidated Analysis BTV Case.xlsx]Sheet9!PivotTable28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Sum of Number of 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Sheet9!$A$4:$A$11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Sheet9!$B$4:$B$11</c:f>
              <c:numCache>
                <c:formatCode>General</c:formatCode>
                <c:ptCount val="7"/>
                <c:pt idx="0">
                  <c:v>1.3979999999999999</c:v>
                </c:pt>
                <c:pt idx="1">
                  <c:v>974</c:v>
                </c:pt>
                <c:pt idx="2">
                  <c:v>1.321</c:v>
                </c:pt>
                <c:pt idx="3">
                  <c:v>1.5389999999999999</c:v>
                </c:pt>
                <c:pt idx="4">
                  <c:v>1.4710000000000001</c:v>
                </c:pt>
                <c:pt idx="5">
                  <c:v>1.6419999999999999</c:v>
                </c:pt>
                <c:pt idx="6">
                  <c:v>1.655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7-4C25-9A57-A6139C3A78D6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Count of Avg. Seconds per Session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Sheet9!$A$4:$A$11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Sheet9!$C$4:$C$11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7-4C25-9A57-A6139C3A7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4975120"/>
        <c:axId val="920126047"/>
        <c:axId val="0"/>
      </c:bar3DChart>
      <c:catAx>
        <c:axId val="11649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26047"/>
        <c:crosses val="autoZero"/>
        <c:auto val="1"/>
        <c:lblAlgn val="ctr"/>
        <c:lblOffset val="100"/>
        <c:noMultiLvlLbl val="0"/>
      </c:catAx>
      <c:valAx>
        <c:axId val="9201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Weekly Usage Trends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97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Channel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[4]Biz_Question_Race_Channel_Engag!$B$1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[4]Biz_Question_Race_Channel_Engag!$A$2:$A$11</c:f>
              <c:strCache>
                <c:ptCount val="10"/>
                <c:pt idx="0">
                  <c:v>AfricaMagic</c:v>
                </c:pt>
                <c:pt idx="1">
                  <c:v>Boomerang</c:v>
                </c:pt>
                <c:pt idx="2">
                  <c:v>CartoonNetwork</c:v>
                </c:pt>
                <c:pt idx="3">
                  <c:v>ChannelO</c:v>
                </c:pt>
                <c:pt idx="4">
                  <c:v>Cnn</c:v>
                </c:pt>
                <c:pt idx="5">
                  <c:v>E!Entertainment</c:v>
                </c:pt>
                <c:pt idx="6">
                  <c:v>IccCricketWorldCup2011</c:v>
                </c:pt>
                <c:pt idx="7">
                  <c:v>SupersportBlitz</c:v>
                </c:pt>
                <c:pt idx="8">
                  <c:v>SupersportLiveEvents</c:v>
                </c:pt>
                <c:pt idx="9">
                  <c:v>TraceTv</c:v>
                </c:pt>
              </c:strCache>
            </c:strRef>
          </c:cat>
          <c:val>
            <c:numRef>
              <c:f>[4]Biz_Question_Race_Channel_Engag!$B$2:$B$11</c:f>
              <c:numCache>
                <c:formatCode>General</c:formatCode>
                <c:ptCount val="10"/>
                <c:pt idx="0">
                  <c:v>9216</c:v>
                </c:pt>
                <c:pt idx="1">
                  <c:v>29940</c:v>
                </c:pt>
                <c:pt idx="2">
                  <c:v>26913</c:v>
                </c:pt>
                <c:pt idx="3">
                  <c:v>46581</c:v>
                </c:pt>
                <c:pt idx="4">
                  <c:v>64147</c:v>
                </c:pt>
                <c:pt idx="5">
                  <c:v>16426</c:v>
                </c:pt>
                <c:pt idx="6">
                  <c:v>172012</c:v>
                </c:pt>
                <c:pt idx="7">
                  <c:v>25321</c:v>
                </c:pt>
                <c:pt idx="8">
                  <c:v>121352</c:v>
                </c:pt>
                <c:pt idx="9">
                  <c:v>52812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48A-AA57-2188C656DC1A}"/>
            </c:ext>
          </c:extLst>
        </c:ser>
        <c:ser>
          <c:idx val="1"/>
          <c:order val="1"/>
          <c:tx>
            <c:strRef>
              <c:f>[4]Biz_Question_Race_Channel_Engag!$C$1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[4]Biz_Question_Race_Channel_Engag!$A$2:$A$11</c:f>
              <c:strCache>
                <c:ptCount val="10"/>
                <c:pt idx="0">
                  <c:v>AfricaMagic</c:v>
                </c:pt>
                <c:pt idx="1">
                  <c:v>Boomerang</c:v>
                </c:pt>
                <c:pt idx="2">
                  <c:v>CartoonNetwork</c:v>
                </c:pt>
                <c:pt idx="3">
                  <c:v>ChannelO</c:v>
                </c:pt>
                <c:pt idx="4">
                  <c:v>Cnn</c:v>
                </c:pt>
                <c:pt idx="5">
                  <c:v>E!Entertainment</c:v>
                </c:pt>
                <c:pt idx="6">
                  <c:v>IccCricketWorldCup2011</c:v>
                </c:pt>
                <c:pt idx="7">
                  <c:v>SupersportBlitz</c:v>
                </c:pt>
                <c:pt idx="8">
                  <c:v>SupersportLiveEvents</c:v>
                </c:pt>
                <c:pt idx="9">
                  <c:v>TraceTv</c:v>
                </c:pt>
              </c:strCache>
            </c:strRef>
          </c:cat>
          <c:val>
            <c:numRef>
              <c:f>[4]Biz_Question_Race_Channel_Engag!$C$2:$C$11</c:f>
              <c:numCache>
                <c:formatCode>General</c:formatCode>
                <c:ptCount val="10"/>
                <c:pt idx="0">
                  <c:v>150077</c:v>
                </c:pt>
                <c:pt idx="1">
                  <c:v>120380</c:v>
                </c:pt>
                <c:pt idx="2">
                  <c:v>96060</c:v>
                </c:pt>
                <c:pt idx="3">
                  <c:v>528927</c:v>
                </c:pt>
                <c:pt idx="4">
                  <c:v>108390</c:v>
                </c:pt>
                <c:pt idx="5">
                  <c:v>49638</c:v>
                </c:pt>
                <c:pt idx="6">
                  <c:v>155874</c:v>
                </c:pt>
                <c:pt idx="7">
                  <c:v>148980</c:v>
                </c:pt>
                <c:pt idx="8">
                  <c:v>247872</c:v>
                </c:pt>
                <c:pt idx="9">
                  <c:v>424017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0-448A-AA57-2188C656DC1A}"/>
            </c:ext>
          </c:extLst>
        </c:ser>
        <c:ser>
          <c:idx val="2"/>
          <c:order val="2"/>
          <c:tx>
            <c:strRef>
              <c:f>[4]Biz_Question_Race_Channel_Engag!$D$1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[4]Biz_Question_Race_Channel_Engag!$A$2:$A$11</c:f>
              <c:strCache>
                <c:ptCount val="10"/>
                <c:pt idx="0">
                  <c:v>AfricaMagic</c:v>
                </c:pt>
                <c:pt idx="1">
                  <c:v>Boomerang</c:v>
                </c:pt>
                <c:pt idx="2">
                  <c:v>CartoonNetwork</c:v>
                </c:pt>
                <c:pt idx="3">
                  <c:v>ChannelO</c:v>
                </c:pt>
                <c:pt idx="4">
                  <c:v>Cnn</c:v>
                </c:pt>
                <c:pt idx="5">
                  <c:v>E!Entertainment</c:v>
                </c:pt>
                <c:pt idx="6">
                  <c:v>IccCricketWorldCup2011</c:v>
                </c:pt>
                <c:pt idx="7">
                  <c:v>SupersportBlitz</c:v>
                </c:pt>
                <c:pt idx="8">
                  <c:v>SupersportLiveEvents</c:v>
                </c:pt>
                <c:pt idx="9">
                  <c:v>TraceTv</c:v>
                </c:pt>
              </c:strCache>
            </c:strRef>
          </c:cat>
          <c:val>
            <c:numRef>
              <c:f>[4]Biz_Question_Race_Channel_Engag!$D$2:$D$11</c:f>
              <c:numCache>
                <c:formatCode>General</c:formatCode>
                <c:ptCount val="10"/>
                <c:pt idx="0">
                  <c:v>11980</c:v>
                </c:pt>
                <c:pt idx="1">
                  <c:v>51345</c:v>
                </c:pt>
                <c:pt idx="2">
                  <c:v>60649</c:v>
                </c:pt>
                <c:pt idx="3">
                  <c:v>89196</c:v>
                </c:pt>
                <c:pt idx="4">
                  <c:v>28599</c:v>
                </c:pt>
                <c:pt idx="5">
                  <c:v>27452</c:v>
                </c:pt>
                <c:pt idx="6">
                  <c:v>157014</c:v>
                </c:pt>
                <c:pt idx="7">
                  <c:v>78195</c:v>
                </c:pt>
                <c:pt idx="8">
                  <c:v>225266</c:v>
                </c:pt>
                <c:pt idx="9">
                  <c:v>145239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0-448A-AA57-2188C656DC1A}"/>
            </c:ext>
          </c:extLst>
        </c:ser>
        <c:ser>
          <c:idx val="3"/>
          <c:order val="3"/>
          <c:tx>
            <c:strRef>
              <c:f>[4]Biz_Question_Race_Channel_Engag!$E$1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[4]Biz_Question_Race_Channel_Engag!$A$2:$A$11</c:f>
              <c:strCache>
                <c:ptCount val="10"/>
                <c:pt idx="0">
                  <c:v>AfricaMagic</c:v>
                </c:pt>
                <c:pt idx="1">
                  <c:v>Boomerang</c:v>
                </c:pt>
                <c:pt idx="2">
                  <c:v>CartoonNetwork</c:v>
                </c:pt>
                <c:pt idx="3">
                  <c:v>ChannelO</c:v>
                </c:pt>
                <c:pt idx="4">
                  <c:v>Cnn</c:v>
                </c:pt>
                <c:pt idx="5">
                  <c:v>E!Entertainment</c:v>
                </c:pt>
                <c:pt idx="6">
                  <c:v>IccCricketWorldCup2011</c:v>
                </c:pt>
                <c:pt idx="7">
                  <c:v>SupersportBlitz</c:v>
                </c:pt>
                <c:pt idx="8">
                  <c:v>SupersportLiveEvents</c:v>
                </c:pt>
                <c:pt idx="9">
                  <c:v>TraceTv</c:v>
                </c:pt>
              </c:strCache>
            </c:strRef>
          </c:cat>
          <c:val>
            <c:numRef>
              <c:f>[4]Biz_Question_Race_Channel_Engag!$E$2:$E$11</c:f>
              <c:numCache>
                <c:formatCode>General</c:formatCode>
                <c:ptCount val="10"/>
                <c:pt idx="0">
                  <c:v>1849</c:v>
                </c:pt>
                <c:pt idx="1">
                  <c:v>20047</c:v>
                </c:pt>
                <c:pt idx="2">
                  <c:v>20282</c:v>
                </c:pt>
                <c:pt idx="3">
                  <c:v>19398</c:v>
                </c:pt>
                <c:pt idx="4">
                  <c:v>12360</c:v>
                </c:pt>
                <c:pt idx="5">
                  <c:v>18662</c:v>
                </c:pt>
                <c:pt idx="6">
                  <c:v>809402</c:v>
                </c:pt>
                <c:pt idx="7">
                  <c:v>45396</c:v>
                </c:pt>
                <c:pt idx="8">
                  <c:v>251334</c:v>
                </c:pt>
                <c:pt idx="9">
                  <c:v>40800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10-448A-AA57-2188C656DC1A}"/>
            </c:ext>
          </c:extLst>
        </c:ser>
        <c:ser>
          <c:idx val="4"/>
          <c:order val="4"/>
          <c:tx>
            <c:strRef>
              <c:f>[4]Biz_Question_Race_Channel_Engag!$F$1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[4]Biz_Question_Race_Channel_Engag!$A$2:$A$11</c:f>
              <c:strCache>
                <c:ptCount val="10"/>
                <c:pt idx="0">
                  <c:v>AfricaMagic</c:v>
                </c:pt>
                <c:pt idx="1">
                  <c:v>Boomerang</c:v>
                </c:pt>
                <c:pt idx="2">
                  <c:v>CartoonNetwork</c:v>
                </c:pt>
                <c:pt idx="3">
                  <c:v>ChannelO</c:v>
                </c:pt>
                <c:pt idx="4">
                  <c:v>Cnn</c:v>
                </c:pt>
                <c:pt idx="5">
                  <c:v>E!Entertainment</c:v>
                </c:pt>
                <c:pt idx="6">
                  <c:v>IccCricketWorldCup2011</c:v>
                </c:pt>
                <c:pt idx="7">
                  <c:v>SupersportBlitz</c:v>
                </c:pt>
                <c:pt idx="8">
                  <c:v>SupersportLiveEvents</c:v>
                </c:pt>
                <c:pt idx="9">
                  <c:v>TraceTv</c:v>
                </c:pt>
              </c:strCache>
            </c:strRef>
          </c:cat>
          <c:val>
            <c:numRef>
              <c:f>[4]Biz_Question_Race_Channel_Engag!$F$2:$F$11</c:f>
              <c:numCache>
                <c:formatCode>General</c:formatCode>
                <c:ptCount val="10"/>
                <c:pt idx="0">
                  <c:v>232</c:v>
                </c:pt>
                <c:pt idx="1">
                  <c:v>4514</c:v>
                </c:pt>
                <c:pt idx="2">
                  <c:v>83</c:v>
                </c:pt>
                <c:pt idx="3">
                  <c:v>531</c:v>
                </c:pt>
                <c:pt idx="4">
                  <c:v>3029</c:v>
                </c:pt>
                <c:pt idx="5">
                  <c:v>3194</c:v>
                </c:pt>
                <c:pt idx="6">
                  <c:v>20532</c:v>
                </c:pt>
                <c:pt idx="7">
                  <c:v>1521</c:v>
                </c:pt>
                <c:pt idx="8">
                  <c:v>4870</c:v>
                </c:pt>
                <c:pt idx="9">
                  <c:v>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10-448A-AA57-2188C656DC1A}"/>
            </c:ext>
          </c:extLst>
        </c:ser>
        <c:ser>
          <c:idx val="5"/>
          <c:order val="5"/>
          <c:tx>
            <c:strRef>
              <c:f>[4]Biz_Question_Race_Channel_Engag!$G$1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[4]Biz_Question_Race_Channel_Engag!$A$2:$A$11</c:f>
              <c:strCache>
                <c:ptCount val="10"/>
                <c:pt idx="0">
                  <c:v>AfricaMagic</c:v>
                </c:pt>
                <c:pt idx="1">
                  <c:v>Boomerang</c:v>
                </c:pt>
                <c:pt idx="2">
                  <c:v>CartoonNetwork</c:v>
                </c:pt>
                <c:pt idx="3">
                  <c:v>ChannelO</c:v>
                </c:pt>
                <c:pt idx="4">
                  <c:v>Cnn</c:v>
                </c:pt>
                <c:pt idx="5">
                  <c:v>E!Entertainment</c:v>
                </c:pt>
                <c:pt idx="6">
                  <c:v>IccCricketWorldCup2011</c:v>
                </c:pt>
                <c:pt idx="7">
                  <c:v>SupersportBlitz</c:v>
                </c:pt>
                <c:pt idx="8">
                  <c:v>SupersportLiveEvents</c:v>
                </c:pt>
                <c:pt idx="9">
                  <c:v>TraceTv</c:v>
                </c:pt>
              </c:strCache>
            </c:strRef>
          </c:cat>
          <c:val>
            <c:numRef>
              <c:f>[4]Biz_Question_Race_Channel_Engag!$G$2:$G$11</c:f>
              <c:numCache>
                <c:formatCode>General</c:formatCode>
                <c:ptCount val="10"/>
                <c:pt idx="0">
                  <c:v>2018</c:v>
                </c:pt>
                <c:pt idx="1">
                  <c:v>37507</c:v>
                </c:pt>
                <c:pt idx="2">
                  <c:v>48930</c:v>
                </c:pt>
                <c:pt idx="3">
                  <c:v>9288</c:v>
                </c:pt>
                <c:pt idx="4">
                  <c:v>27427</c:v>
                </c:pt>
                <c:pt idx="5">
                  <c:v>17772</c:v>
                </c:pt>
                <c:pt idx="6">
                  <c:v>168472</c:v>
                </c:pt>
                <c:pt idx="7">
                  <c:v>27033</c:v>
                </c:pt>
                <c:pt idx="8">
                  <c:v>277352</c:v>
                </c:pt>
                <c:pt idx="9">
                  <c:v>20679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10-448A-AA57-2188C656D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94050271"/>
        <c:axId val="1694048351"/>
      </c:barChart>
      <c:catAx>
        <c:axId val="169405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48351"/>
        <c:crosses val="autoZero"/>
        <c:auto val="1"/>
        <c:lblAlgn val="ctr"/>
        <c:lblOffset val="100"/>
        <c:noMultiLvlLbl val="0"/>
      </c:catAx>
      <c:valAx>
        <c:axId val="16940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Viewbehaviour</a:t>
            </a:r>
            <a:r>
              <a:rPr lang="en-ZA" baseline="0"/>
              <a:t> by Age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[5]Biz_Question_Age_ViewType_Distr!$B$1</c:f>
              <c:strCache>
                <c:ptCount val="1"/>
                <c:pt idx="0">
                  <c:v>Invalid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[5]Biz_Question_Age_ViewType_Distr!$A$2:$A$7</c:f>
              <c:strCache>
                <c:ptCount val="6"/>
                <c:pt idx="0">
                  <c:v>Kids</c:v>
                </c:pt>
                <c:pt idx="1">
                  <c:v>Mature_Adults</c:v>
                </c:pt>
                <c:pt idx="2">
                  <c:v>Senior</c:v>
                </c:pt>
                <c:pt idx="3">
                  <c:v>Unknown</c:v>
                </c:pt>
                <c:pt idx="4">
                  <c:v>Young_Adult</c:v>
                </c:pt>
                <c:pt idx="5">
                  <c:v>Youth</c:v>
                </c:pt>
              </c:strCache>
            </c:strRef>
          </c:cat>
          <c:val>
            <c:numRef>
              <c:f>[5]Biz_Question_Age_ViewType_Distr!$B$2:$B$7</c:f>
              <c:numCache>
                <c:formatCode>General</c:formatCode>
                <c:ptCount val="6"/>
                <c:pt idx="0">
                  <c:v>2</c:v>
                </c:pt>
                <c:pt idx="1">
                  <c:v>50</c:v>
                </c:pt>
                <c:pt idx="2">
                  <c:v>6</c:v>
                </c:pt>
                <c:pt idx="3">
                  <c:v>745</c:v>
                </c:pt>
                <c:pt idx="4">
                  <c:v>170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B-435C-AC98-EB56D7FC4A70}"/>
            </c:ext>
          </c:extLst>
        </c:ser>
        <c:ser>
          <c:idx val="1"/>
          <c:order val="1"/>
          <c:tx>
            <c:strRef>
              <c:f>[5]Biz_Question_Age_ViewType_Distr!$C$1</c:f>
              <c:strCache>
                <c:ptCount val="1"/>
                <c:pt idx="0">
                  <c:v>Long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[5]Biz_Question_Age_ViewType_Distr!$A$2:$A$7</c:f>
              <c:strCache>
                <c:ptCount val="6"/>
                <c:pt idx="0">
                  <c:v>Kids</c:v>
                </c:pt>
                <c:pt idx="1">
                  <c:v>Mature_Adults</c:v>
                </c:pt>
                <c:pt idx="2">
                  <c:v>Senior</c:v>
                </c:pt>
                <c:pt idx="3">
                  <c:v>Unknown</c:v>
                </c:pt>
                <c:pt idx="4">
                  <c:v>Young_Adult</c:v>
                </c:pt>
                <c:pt idx="5">
                  <c:v>Youth</c:v>
                </c:pt>
              </c:strCache>
            </c:strRef>
          </c:cat>
          <c:val>
            <c:numRef>
              <c:f>[5]Biz_Question_Age_ViewType_Distr!$C$2:$C$7</c:f>
              <c:numCache>
                <c:formatCode>General</c:formatCode>
                <c:ptCount val="6"/>
                <c:pt idx="0">
                  <c:v>10</c:v>
                </c:pt>
                <c:pt idx="1">
                  <c:v>258</c:v>
                </c:pt>
                <c:pt idx="2">
                  <c:v>32</c:v>
                </c:pt>
                <c:pt idx="3">
                  <c:v>17</c:v>
                </c:pt>
                <c:pt idx="4">
                  <c:v>431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B-435C-AC98-EB56D7FC4A70}"/>
            </c:ext>
          </c:extLst>
        </c:ser>
        <c:ser>
          <c:idx val="2"/>
          <c:order val="2"/>
          <c:tx>
            <c:strRef>
              <c:f>[5]Biz_Question_Age_ViewType_Distr!$D$1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[5]Biz_Question_Age_ViewType_Distr!$A$2:$A$7</c:f>
              <c:strCache>
                <c:ptCount val="6"/>
                <c:pt idx="0">
                  <c:v>Kids</c:v>
                </c:pt>
                <c:pt idx="1">
                  <c:v>Mature_Adults</c:v>
                </c:pt>
                <c:pt idx="2">
                  <c:v>Senior</c:v>
                </c:pt>
                <c:pt idx="3">
                  <c:v>Unknown</c:v>
                </c:pt>
                <c:pt idx="4">
                  <c:v>Young_Adult</c:v>
                </c:pt>
                <c:pt idx="5">
                  <c:v>Youth</c:v>
                </c:pt>
              </c:strCache>
            </c:strRef>
          </c:cat>
          <c:val>
            <c:numRef>
              <c:f>[5]Biz_Question_Age_ViewType_Distr!$D$2:$D$7</c:f>
              <c:numCache>
                <c:formatCode>General</c:formatCode>
                <c:ptCount val="6"/>
                <c:pt idx="0">
                  <c:v>52</c:v>
                </c:pt>
                <c:pt idx="1">
                  <c:v>1811</c:v>
                </c:pt>
                <c:pt idx="2">
                  <c:v>272</c:v>
                </c:pt>
                <c:pt idx="3">
                  <c:v>140</c:v>
                </c:pt>
                <c:pt idx="4">
                  <c:v>3058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B-435C-AC98-EB56D7FC4A70}"/>
            </c:ext>
          </c:extLst>
        </c:ser>
        <c:ser>
          <c:idx val="3"/>
          <c:order val="3"/>
          <c:tx>
            <c:strRef>
              <c:f>[5]Biz_Question_Age_ViewType_Distr!$E$1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[5]Biz_Question_Age_ViewType_Distr!$A$2:$A$7</c:f>
              <c:strCache>
                <c:ptCount val="6"/>
                <c:pt idx="0">
                  <c:v>Kids</c:v>
                </c:pt>
                <c:pt idx="1">
                  <c:v>Mature_Adults</c:v>
                </c:pt>
                <c:pt idx="2">
                  <c:v>Senior</c:v>
                </c:pt>
                <c:pt idx="3">
                  <c:v>Unknown</c:v>
                </c:pt>
                <c:pt idx="4">
                  <c:v>Young_Adult</c:v>
                </c:pt>
                <c:pt idx="5">
                  <c:v>Youth</c:v>
                </c:pt>
              </c:strCache>
            </c:strRef>
          </c:cat>
          <c:val>
            <c:numRef>
              <c:f>[5]Biz_Question_Age_ViewType_Distr!$E$2:$E$7</c:f>
              <c:numCache>
                <c:formatCode>General</c:formatCode>
                <c:ptCount val="6"/>
                <c:pt idx="0">
                  <c:v>21</c:v>
                </c:pt>
                <c:pt idx="1">
                  <c:v>1259</c:v>
                </c:pt>
                <c:pt idx="2">
                  <c:v>196</c:v>
                </c:pt>
                <c:pt idx="3">
                  <c:v>103</c:v>
                </c:pt>
                <c:pt idx="4">
                  <c:v>2143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EB-435C-AC98-EB56D7FC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303263"/>
        <c:axId val="1690317183"/>
      </c:barChart>
      <c:catAx>
        <c:axId val="16903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17183"/>
        <c:crosses val="autoZero"/>
        <c:auto val="1"/>
        <c:lblAlgn val="ctr"/>
        <c:lblOffset val="100"/>
        <c:noMultiLvlLbl val="0"/>
      </c:catAx>
      <c:valAx>
        <c:axId val="169031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Time Viewership</a:t>
            </a:r>
            <a:r>
              <a:rPr lang="en-ZA" baseline="0"/>
              <a:t> by Race</a:t>
            </a:r>
            <a:endParaRPr lang="en-ZA"/>
          </a:p>
        </c:rich>
      </c:tx>
      <c:layout>
        <c:manualLayout>
          <c:xMode val="edge"/>
          <c:yMode val="edge"/>
          <c:x val="0.2755624798237119"/>
          <c:y val="2.7210884353741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'TimeViewership by Race'!$B$1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'TimeViewership by Race'!$A$2:$A$6</c:f>
              <c:strCache>
                <c:ptCount val="5"/>
                <c:pt idx="0">
                  <c:v>Black</c:v>
                </c:pt>
                <c:pt idx="1">
                  <c:v>Indian/Asian</c:v>
                </c:pt>
                <c:pt idx="2">
                  <c:v>Coloured</c:v>
                </c:pt>
                <c:pt idx="3">
                  <c:v>White</c:v>
                </c:pt>
                <c:pt idx="4">
                  <c:v>Other</c:v>
                </c:pt>
              </c:strCache>
            </c:strRef>
          </c:cat>
          <c:val>
            <c:numRef>
              <c:f>'TimeViewership by Race'!$B$2:$B$6</c:f>
              <c:numCache>
                <c:formatCode>General</c:formatCode>
                <c:ptCount val="5"/>
                <c:pt idx="0">
                  <c:v>1.163</c:v>
                </c:pt>
                <c:pt idx="1">
                  <c:v>601</c:v>
                </c:pt>
                <c:pt idx="2">
                  <c:v>485</c:v>
                </c:pt>
                <c:pt idx="3">
                  <c:v>470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7-4CB3-A1FD-519A4F1DB85C}"/>
            </c:ext>
          </c:extLst>
        </c:ser>
        <c:ser>
          <c:idx val="1"/>
          <c:order val="1"/>
          <c:tx>
            <c:strRef>
              <c:f>'TimeViewership by Race'!$C$1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'TimeViewership by Race'!$A$2:$A$6</c:f>
              <c:strCache>
                <c:ptCount val="5"/>
                <c:pt idx="0">
                  <c:v>Black</c:v>
                </c:pt>
                <c:pt idx="1">
                  <c:v>Indian/Asian</c:v>
                </c:pt>
                <c:pt idx="2">
                  <c:v>Coloured</c:v>
                </c:pt>
                <c:pt idx="3">
                  <c:v>White</c:v>
                </c:pt>
                <c:pt idx="4">
                  <c:v>Other</c:v>
                </c:pt>
              </c:strCache>
            </c:strRef>
          </c:cat>
          <c:val>
            <c:numRef>
              <c:f>'TimeViewership by Race'!$C$2:$C$6</c:f>
              <c:numCache>
                <c:formatCode>General</c:formatCode>
                <c:ptCount val="5"/>
                <c:pt idx="0">
                  <c:v>1.3009999999999999</c:v>
                </c:pt>
                <c:pt idx="1">
                  <c:v>562</c:v>
                </c:pt>
                <c:pt idx="2">
                  <c:v>514</c:v>
                </c:pt>
                <c:pt idx="3">
                  <c:v>424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7-4CB3-A1FD-519A4F1DB85C}"/>
            </c:ext>
          </c:extLst>
        </c:ser>
        <c:ser>
          <c:idx val="2"/>
          <c:order val="2"/>
          <c:tx>
            <c:strRef>
              <c:f>'TimeViewership by Race'!$D$1</c:f>
              <c:strCache>
                <c:ptCount val="1"/>
                <c:pt idx="0">
                  <c:v>Evening/Prime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'TimeViewership by Race'!$A$2:$A$6</c:f>
              <c:strCache>
                <c:ptCount val="5"/>
                <c:pt idx="0">
                  <c:v>Black</c:v>
                </c:pt>
                <c:pt idx="1">
                  <c:v>Indian/Asian</c:v>
                </c:pt>
                <c:pt idx="2">
                  <c:v>Coloured</c:v>
                </c:pt>
                <c:pt idx="3">
                  <c:v>White</c:v>
                </c:pt>
                <c:pt idx="4">
                  <c:v>Other</c:v>
                </c:pt>
              </c:strCache>
            </c:strRef>
          </c:cat>
          <c:val>
            <c:numRef>
              <c:f>'TimeViewership by Race'!$D$2:$D$6</c:f>
              <c:numCache>
                <c:formatCode>General</c:formatCode>
                <c:ptCount val="5"/>
                <c:pt idx="0">
                  <c:v>1.3580000000000001</c:v>
                </c:pt>
                <c:pt idx="1">
                  <c:v>312</c:v>
                </c:pt>
                <c:pt idx="2">
                  <c:v>446</c:v>
                </c:pt>
                <c:pt idx="3">
                  <c:v>279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7-4CB3-A1FD-519A4F1DB85C}"/>
            </c:ext>
          </c:extLst>
        </c:ser>
        <c:ser>
          <c:idx val="3"/>
          <c:order val="3"/>
          <c:tx>
            <c:strRef>
              <c:f>'TimeViewership by Race'!$E$1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'TimeViewership by Race'!$A$2:$A$6</c:f>
              <c:strCache>
                <c:ptCount val="5"/>
                <c:pt idx="0">
                  <c:v>Black</c:v>
                </c:pt>
                <c:pt idx="1">
                  <c:v>Indian/Asian</c:v>
                </c:pt>
                <c:pt idx="2">
                  <c:v>Coloured</c:v>
                </c:pt>
                <c:pt idx="3">
                  <c:v>White</c:v>
                </c:pt>
                <c:pt idx="4">
                  <c:v>Other</c:v>
                </c:pt>
              </c:strCache>
            </c:strRef>
          </c:cat>
          <c:val>
            <c:numRef>
              <c:f>'TimeViewership by Race'!$E$2:$E$6</c:f>
              <c:numCache>
                <c:formatCode>General</c:formatCode>
                <c:ptCount val="5"/>
                <c:pt idx="0">
                  <c:v>509</c:v>
                </c:pt>
                <c:pt idx="1">
                  <c:v>100</c:v>
                </c:pt>
                <c:pt idx="2">
                  <c:v>188</c:v>
                </c:pt>
                <c:pt idx="3">
                  <c:v>119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27-4CB3-A1FD-519A4F1D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744767"/>
        <c:axId val="1863752927"/>
      </c:barChart>
      <c:catAx>
        <c:axId val="186374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52927"/>
        <c:crosses val="autoZero"/>
        <c:auto val="1"/>
        <c:lblAlgn val="ctr"/>
        <c:lblOffset val="100"/>
        <c:noMultiLvlLbl val="0"/>
      </c:catAx>
      <c:valAx>
        <c:axId val="18637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4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VIEW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'[1]Chart_Data_Channel_vs_Gender (1'!$B$1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'[1]Chart_Data_Channel_vs_Gender (1'!$A$2:$A$21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'[1]Chart_Data_Channel_vs_Gender (1'!$B$2:$B$21</c:f>
              <c:numCache>
                <c:formatCode>General</c:formatCode>
                <c:ptCount val="20"/>
                <c:pt idx="0">
                  <c:v>2953</c:v>
                </c:pt>
                <c:pt idx="1">
                  <c:v>7752</c:v>
                </c:pt>
                <c:pt idx="2">
                  <c:v>46</c:v>
                </c:pt>
                <c:pt idx="3">
                  <c:v>5835</c:v>
                </c:pt>
                <c:pt idx="4">
                  <c:v>22464</c:v>
                </c:pt>
                <c:pt idx="5">
                  <c:v>3913</c:v>
                </c:pt>
                <c:pt idx="6">
                  <c:v>1020</c:v>
                </c:pt>
                <c:pt idx="7">
                  <c:v>3028</c:v>
                </c:pt>
                <c:pt idx="8">
                  <c:v>56748</c:v>
                </c:pt>
                <c:pt idx="9">
                  <c:v>405</c:v>
                </c:pt>
                <c:pt idx="10">
                  <c:v>0</c:v>
                </c:pt>
                <c:pt idx="11">
                  <c:v>394</c:v>
                </c:pt>
                <c:pt idx="12">
                  <c:v>523</c:v>
                </c:pt>
                <c:pt idx="13">
                  <c:v>928</c:v>
                </c:pt>
                <c:pt idx="14">
                  <c:v>7462</c:v>
                </c:pt>
                <c:pt idx="15">
                  <c:v>13534</c:v>
                </c:pt>
                <c:pt idx="16">
                  <c:v>3135</c:v>
                </c:pt>
                <c:pt idx="17">
                  <c:v>0</c:v>
                </c:pt>
                <c:pt idx="18">
                  <c:v>46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E-47BA-A77B-05122C4AAF43}"/>
            </c:ext>
          </c:extLst>
        </c:ser>
        <c:ser>
          <c:idx val="1"/>
          <c:order val="1"/>
          <c:tx>
            <c:strRef>
              <c:f>'[1]Chart_Data_Channel_vs_Gender (1'!$C$1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'[1]Chart_Data_Channel_vs_Gender (1'!$A$2:$A$21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'[1]Chart_Data_Channel_vs_Gender (1'!$C$2:$C$21</c:f>
              <c:numCache>
                <c:formatCode>General</c:formatCode>
                <c:ptCount val="20"/>
                <c:pt idx="0">
                  <c:v>49728</c:v>
                </c:pt>
                <c:pt idx="1">
                  <c:v>25239</c:v>
                </c:pt>
                <c:pt idx="2">
                  <c:v>25</c:v>
                </c:pt>
                <c:pt idx="3">
                  <c:v>49184</c:v>
                </c:pt>
                <c:pt idx="4">
                  <c:v>79329</c:v>
                </c:pt>
                <c:pt idx="5">
                  <c:v>5522</c:v>
                </c:pt>
                <c:pt idx="6">
                  <c:v>2395</c:v>
                </c:pt>
                <c:pt idx="7">
                  <c:v>28550</c:v>
                </c:pt>
                <c:pt idx="8">
                  <c:v>61922</c:v>
                </c:pt>
                <c:pt idx="9">
                  <c:v>0</c:v>
                </c:pt>
                <c:pt idx="10">
                  <c:v>72</c:v>
                </c:pt>
                <c:pt idx="11">
                  <c:v>1386</c:v>
                </c:pt>
                <c:pt idx="12">
                  <c:v>258</c:v>
                </c:pt>
                <c:pt idx="13">
                  <c:v>2806</c:v>
                </c:pt>
                <c:pt idx="14">
                  <c:v>15151</c:v>
                </c:pt>
                <c:pt idx="15">
                  <c:v>71924</c:v>
                </c:pt>
                <c:pt idx="16">
                  <c:v>105039</c:v>
                </c:pt>
                <c:pt idx="17">
                  <c:v>0</c:v>
                </c:pt>
                <c:pt idx="18">
                  <c:v>404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3E-47BA-A77B-05122C4AAF43}"/>
            </c:ext>
          </c:extLst>
        </c:ser>
        <c:ser>
          <c:idx val="2"/>
          <c:order val="2"/>
          <c:tx>
            <c:strRef>
              <c:f>'[1]Chart_Data_Channel_vs_Gender (1'!$D$1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'[1]Chart_Data_Channel_vs_Gender (1'!$A$2:$A$21</c:f>
              <c:strCache>
                <c:ptCount val="20"/>
                <c:pt idx="0">
                  <c:v>AfricaMagic</c:v>
                </c:pt>
                <c:pt idx="1">
                  <c:v>Boomerang</c:v>
                </c:pt>
                <c:pt idx="2">
                  <c:v>BreakInTransmission</c:v>
                </c:pt>
                <c:pt idx="3">
                  <c:v>CartoonNetwork</c:v>
                </c:pt>
                <c:pt idx="4">
                  <c:v>ChannelO</c:v>
                </c:pt>
                <c:pt idx="5">
                  <c:v>Cnn</c:v>
                </c:pt>
                <c:pt idx="6">
                  <c:v>DstvEvents1</c:v>
                </c:pt>
                <c:pt idx="7">
                  <c:v>E!Entertainment</c:v>
                </c:pt>
                <c:pt idx="8">
                  <c:v>IccCricketWorldCup2011</c:v>
                </c:pt>
                <c:pt idx="9">
                  <c:v>Kyknet</c:v>
                </c:pt>
                <c:pt idx="10">
                  <c:v>LiveOnSupersport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SupersportBlitz</c:v>
                </c:pt>
                <c:pt idx="15">
                  <c:v>SupersportLiveEvents</c:v>
                </c:pt>
                <c:pt idx="16">
                  <c:v>TraceTv</c:v>
                </c:pt>
                <c:pt idx="17">
                  <c:v>Unknown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'[1]Chart_Data_Channel_vs_Gender (1'!$D$2:$D$21</c:f>
              <c:numCache>
                <c:formatCode>General</c:formatCode>
                <c:ptCount val="20"/>
                <c:pt idx="0">
                  <c:v>122691</c:v>
                </c:pt>
                <c:pt idx="1">
                  <c:v>230742</c:v>
                </c:pt>
                <c:pt idx="2">
                  <c:v>3139</c:v>
                </c:pt>
                <c:pt idx="3">
                  <c:v>197898</c:v>
                </c:pt>
                <c:pt idx="4">
                  <c:v>592128</c:v>
                </c:pt>
                <c:pt idx="5">
                  <c:v>234564</c:v>
                </c:pt>
                <c:pt idx="6">
                  <c:v>13990</c:v>
                </c:pt>
                <c:pt idx="7">
                  <c:v>101566</c:v>
                </c:pt>
                <c:pt idx="8">
                  <c:v>1364982</c:v>
                </c:pt>
                <c:pt idx="9">
                  <c:v>9339</c:v>
                </c:pt>
                <c:pt idx="10">
                  <c:v>210</c:v>
                </c:pt>
                <c:pt idx="11">
                  <c:v>12262</c:v>
                </c:pt>
                <c:pt idx="12">
                  <c:v>1672</c:v>
                </c:pt>
                <c:pt idx="13">
                  <c:v>33774</c:v>
                </c:pt>
                <c:pt idx="14">
                  <c:v>303833</c:v>
                </c:pt>
                <c:pt idx="15">
                  <c:v>1043420</c:v>
                </c:pt>
                <c:pt idx="16">
                  <c:v>582753</c:v>
                </c:pt>
                <c:pt idx="17">
                  <c:v>0</c:v>
                </c:pt>
                <c:pt idx="18">
                  <c:v>4689</c:v>
                </c:pt>
                <c:pt idx="1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3E-47BA-A77B-05122C4AAF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19872623"/>
        <c:axId val="919876463"/>
      </c:barChart>
      <c:catAx>
        <c:axId val="91987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76463"/>
        <c:crosses val="autoZero"/>
        <c:auto val="1"/>
        <c:lblAlgn val="ctr"/>
        <c:lblOffset val="100"/>
        <c:noMultiLvlLbl val="0"/>
      </c:catAx>
      <c:valAx>
        <c:axId val="919876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98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Prime</a:t>
            </a:r>
            <a:r>
              <a:rPr lang="en-ZA" baseline="0"/>
              <a:t> Time by Province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'[2]Primetime by Province'!$A$2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'[2]Primetime by Province'!$B$1:$K$1</c:f>
              <c:strCache>
                <c:ptCount val="10"/>
                <c:pt idx="0">
                  <c:v>Unknown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'[2]Primetime by Province'!$B$2:$K$2</c:f>
              <c:numCache>
                <c:formatCode>General</c:formatCode>
                <c:ptCount val="10"/>
                <c:pt idx="0">
                  <c:v>70</c:v>
                </c:pt>
                <c:pt idx="1">
                  <c:v>205</c:v>
                </c:pt>
                <c:pt idx="2">
                  <c:v>91</c:v>
                </c:pt>
                <c:pt idx="3">
                  <c:v>1145</c:v>
                </c:pt>
                <c:pt idx="4">
                  <c:v>332</c:v>
                </c:pt>
                <c:pt idx="5">
                  <c:v>235</c:v>
                </c:pt>
                <c:pt idx="6">
                  <c:v>297</c:v>
                </c:pt>
                <c:pt idx="7">
                  <c:v>109</c:v>
                </c:pt>
                <c:pt idx="8">
                  <c:v>78</c:v>
                </c:pt>
                <c:pt idx="9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2-4E91-9598-F9A2FF1FA9B4}"/>
            </c:ext>
          </c:extLst>
        </c:ser>
        <c:ser>
          <c:idx val="1"/>
          <c:order val="1"/>
          <c:tx>
            <c:strRef>
              <c:f>'[2]Primetime by Province'!$A$3</c:f>
              <c:strCache>
                <c:ptCount val="1"/>
                <c:pt idx="0">
                  <c:v>Evening/Prime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'[2]Primetime by Province'!$B$1:$K$1</c:f>
              <c:strCache>
                <c:ptCount val="10"/>
                <c:pt idx="0">
                  <c:v>Unknown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'[2]Primetime by Province'!$B$3:$K$3</c:f>
              <c:numCache>
                <c:formatCode>General</c:formatCode>
                <c:ptCount val="10"/>
                <c:pt idx="0">
                  <c:v>72</c:v>
                </c:pt>
                <c:pt idx="1">
                  <c:v>176</c:v>
                </c:pt>
                <c:pt idx="2">
                  <c:v>90</c:v>
                </c:pt>
                <c:pt idx="3">
                  <c:v>990</c:v>
                </c:pt>
                <c:pt idx="4">
                  <c:v>265</c:v>
                </c:pt>
                <c:pt idx="5">
                  <c:v>191</c:v>
                </c:pt>
                <c:pt idx="6">
                  <c:v>249</c:v>
                </c:pt>
                <c:pt idx="7">
                  <c:v>92</c:v>
                </c:pt>
                <c:pt idx="8">
                  <c:v>63</c:v>
                </c:pt>
                <c:pt idx="9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2-4E91-9598-F9A2FF1FA9B4}"/>
            </c:ext>
          </c:extLst>
        </c:ser>
        <c:ser>
          <c:idx val="2"/>
          <c:order val="2"/>
          <c:tx>
            <c:strRef>
              <c:f>'[2]Primetime by Province'!$A$4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'[2]Primetime by Province'!$B$1:$K$1</c:f>
              <c:strCache>
                <c:ptCount val="10"/>
                <c:pt idx="0">
                  <c:v>Unknown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'[2]Primetime by Province'!$B$4:$K$4</c:f>
              <c:numCache>
                <c:formatCode>General</c:formatCode>
                <c:ptCount val="10"/>
                <c:pt idx="0">
                  <c:v>85</c:v>
                </c:pt>
                <c:pt idx="1">
                  <c:v>221</c:v>
                </c:pt>
                <c:pt idx="2">
                  <c:v>87</c:v>
                </c:pt>
                <c:pt idx="3">
                  <c:v>1136</c:v>
                </c:pt>
                <c:pt idx="4">
                  <c:v>300</c:v>
                </c:pt>
                <c:pt idx="5">
                  <c:v>258</c:v>
                </c:pt>
                <c:pt idx="6">
                  <c:v>283</c:v>
                </c:pt>
                <c:pt idx="7">
                  <c:v>108</c:v>
                </c:pt>
                <c:pt idx="8">
                  <c:v>66</c:v>
                </c:pt>
                <c:pt idx="9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2-4E91-9598-F9A2FF1FA9B4}"/>
            </c:ext>
          </c:extLst>
        </c:ser>
        <c:ser>
          <c:idx val="3"/>
          <c:order val="3"/>
          <c:tx>
            <c:strRef>
              <c:f>'[2]Primetime by Province'!$A$5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'[2]Primetime by Province'!$B$1:$K$1</c:f>
              <c:strCache>
                <c:ptCount val="10"/>
                <c:pt idx="0">
                  <c:v>Unknown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'[2]Primetime by Province'!$B$5:$K$5</c:f>
              <c:numCache>
                <c:formatCode>General</c:formatCode>
                <c:ptCount val="10"/>
                <c:pt idx="0">
                  <c:v>36</c:v>
                </c:pt>
                <c:pt idx="1">
                  <c:v>88</c:v>
                </c:pt>
                <c:pt idx="2">
                  <c:v>24</c:v>
                </c:pt>
                <c:pt idx="3">
                  <c:v>383</c:v>
                </c:pt>
                <c:pt idx="4">
                  <c:v>104</c:v>
                </c:pt>
                <c:pt idx="5">
                  <c:v>79</c:v>
                </c:pt>
                <c:pt idx="6">
                  <c:v>89</c:v>
                </c:pt>
                <c:pt idx="7">
                  <c:v>35</c:v>
                </c:pt>
                <c:pt idx="8">
                  <c:v>23</c:v>
                </c:pt>
                <c:pt idx="9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2-4E91-9598-F9A2FF1FA9B4}"/>
            </c:ext>
          </c:extLst>
        </c:ser>
        <c:ser>
          <c:idx val="4"/>
          <c:order val="4"/>
          <c:tx>
            <c:strRef>
              <c:f>'[2]Primetime by Province'!$A$6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'[2]Primetime by Province'!$B$1:$K$1</c:f>
              <c:strCache>
                <c:ptCount val="10"/>
                <c:pt idx="0">
                  <c:v>Unknown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'[2]Primetime by Province'!$B$6:$K$6</c:f>
              <c:numCache>
                <c:formatCode>General</c:formatCode>
                <c:ptCount val="10"/>
                <c:pt idx="0">
                  <c:v>526</c:v>
                </c:pt>
                <c:pt idx="1">
                  <c:v>16</c:v>
                </c:pt>
                <c:pt idx="2">
                  <c:v>9</c:v>
                </c:pt>
                <c:pt idx="3">
                  <c:v>97</c:v>
                </c:pt>
                <c:pt idx="4">
                  <c:v>33</c:v>
                </c:pt>
                <c:pt idx="5">
                  <c:v>26</c:v>
                </c:pt>
                <c:pt idx="6">
                  <c:v>30</c:v>
                </c:pt>
                <c:pt idx="7">
                  <c:v>9</c:v>
                </c:pt>
                <c:pt idx="8">
                  <c:v>4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52-4E91-9598-F9A2FF1FA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778543"/>
        <c:axId val="1547777103"/>
      </c:barChart>
      <c:catAx>
        <c:axId val="15477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77103"/>
        <c:crosses val="autoZero"/>
        <c:auto val="1"/>
        <c:lblAlgn val="ctr"/>
        <c:lblOffset val="100"/>
        <c:noMultiLvlLbl val="0"/>
      </c:catAx>
      <c:valAx>
        <c:axId val="15477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7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0</xdr:row>
      <xdr:rowOff>38100</xdr:rowOff>
    </xdr:from>
    <xdr:to>
      <xdr:col>21</xdr:col>
      <xdr:colOff>457200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046CC-4C20-D1AC-7ACE-E257D0652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11430</xdr:rowOff>
    </xdr:from>
    <xdr:to>
      <xdr:col>10</xdr:col>
      <xdr:colOff>106680</xdr:colOff>
      <xdr:row>30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65DE6-C730-4C93-9C82-CB4D7B141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34290</xdr:rowOff>
    </xdr:from>
    <xdr:to>
      <xdr:col>8</xdr:col>
      <xdr:colOff>434340</xdr:colOff>
      <xdr:row>29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2525E-B431-4E56-A429-43F625AE3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11</xdr:row>
      <xdr:rowOff>41910</xdr:rowOff>
    </xdr:from>
    <xdr:to>
      <xdr:col>3</xdr:col>
      <xdr:colOff>1303020</xdr:colOff>
      <xdr:row>30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86B56-4557-8D66-F1FD-BA9D3F09D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110490</xdr:rowOff>
    </xdr:from>
    <xdr:to>
      <xdr:col>11</xdr:col>
      <xdr:colOff>236220</xdr:colOff>
      <xdr:row>33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23E99-7CC9-44D7-927C-A500D740A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10</xdr:col>
      <xdr:colOff>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91FA4-FFB3-4D0C-BA54-CDF6E0E3D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171450</xdr:rowOff>
    </xdr:from>
    <xdr:to>
      <xdr:col>7</xdr:col>
      <xdr:colOff>312420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FFBDE-AA2D-9C9A-2B21-52033C7D5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16</xdr:col>
      <xdr:colOff>381000</xdr:colOff>
      <xdr:row>28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54DC8-FB3F-4F13-8F7C-B137C4AEC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6</xdr:row>
      <xdr:rowOff>125730</xdr:rowOff>
    </xdr:from>
    <xdr:to>
      <xdr:col>11</xdr:col>
      <xdr:colOff>144780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43505-6E89-4E4C-95DE-81597904A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kes.khotlele\Downloads\Chart_Data_Channel_vs_Gender%20(1).csv" TargetMode="External"/><Relationship Id="rId1" Type="http://schemas.openxmlformats.org/officeDocument/2006/relationships/externalLinkPath" Target="file:///C:\Users\zakes.khotlele\Downloads\Chart_Data_Channel_vs_Gender%20(1)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kes.khotlele\Downloads\Chart_Data_Province_vs_Time%20(1).csv" TargetMode="External"/><Relationship Id="rId1" Type="http://schemas.openxmlformats.org/officeDocument/2006/relationships/externalLinkPath" Target="file:///C:\Users\zakes.khotlele\Downloads\Chart_Data_Province_vs_Time%20(1)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kes.khotlele\Downloads\Biz_Question_Weekly_Engagement.csv" TargetMode="External"/><Relationship Id="rId1" Type="http://schemas.openxmlformats.org/officeDocument/2006/relationships/externalLinkPath" Target="file:///C:\Users\zakes.khotlele\Downloads\Biz_Question_Weekly_Engagement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kes.khotlele\Downloads\Biz_Question_Race_Channel_Engagement.csv" TargetMode="External"/><Relationship Id="rId1" Type="http://schemas.openxmlformats.org/officeDocument/2006/relationships/externalLinkPath" Target="file:///C:\Users\zakes.khotlele\Downloads\Biz_Question_Race_Channel_Engagement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kes.khotlele\Downloads\Biz_Question_Age_ViewType_Distribution.csv" TargetMode="External"/><Relationship Id="rId1" Type="http://schemas.openxmlformats.org/officeDocument/2006/relationships/externalLinkPath" Target="file:///C:\Users\zakes.khotlele\Downloads\Biz_Question_Age_ViewType_Distribution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kes.khotlele\Downloads\Chart_Race_vs_TimeOfDay.csv" TargetMode="External"/><Relationship Id="rId1" Type="http://schemas.openxmlformats.org/officeDocument/2006/relationships/externalLinkPath" Target="file:///C:\Users\zakes.khotlele\Downloads\Chart_Race_vs_TimeOfDa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_Data_Channel_vs_Gender (1"/>
    </sheetNames>
    <sheetDataSet>
      <sheetData sheetId="0">
        <row r="1">
          <cell r="B1" t="str">
            <v>Unknown</v>
          </cell>
          <cell r="C1" t="str">
            <v>female</v>
          </cell>
          <cell r="D1" t="str">
            <v>male</v>
          </cell>
        </row>
        <row r="2">
          <cell r="A2" t="str">
            <v>AfricaMagic</v>
          </cell>
          <cell r="B2">
            <v>2953</v>
          </cell>
          <cell r="C2">
            <v>49728</v>
          </cell>
          <cell r="D2">
            <v>122691</v>
          </cell>
        </row>
        <row r="3">
          <cell r="A3" t="str">
            <v>Boomerang</v>
          </cell>
          <cell r="B3">
            <v>7752</v>
          </cell>
          <cell r="C3">
            <v>25239</v>
          </cell>
          <cell r="D3">
            <v>230742</v>
          </cell>
        </row>
        <row r="4">
          <cell r="A4" t="str">
            <v>BreakInTransmission</v>
          </cell>
          <cell r="B4">
            <v>46</v>
          </cell>
          <cell r="C4">
            <v>25</v>
          </cell>
          <cell r="D4">
            <v>3139</v>
          </cell>
        </row>
        <row r="5">
          <cell r="A5" t="str">
            <v>CartoonNetwork</v>
          </cell>
          <cell r="B5">
            <v>5835</v>
          </cell>
          <cell r="C5">
            <v>49184</v>
          </cell>
          <cell r="D5">
            <v>197898</v>
          </cell>
        </row>
        <row r="6">
          <cell r="A6" t="str">
            <v>ChannelO</v>
          </cell>
          <cell r="B6">
            <v>22464</v>
          </cell>
          <cell r="C6">
            <v>79329</v>
          </cell>
          <cell r="D6">
            <v>592128</v>
          </cell>
        </row>
        <row r="7">
          <cell r="A7" t="str">
            <v>Cnn</v>
          </cell>
          <cell r="B7">
            <v>3913</v>
          </cell>
          <cell r="C7">
            <v>5522</v>
          </cell>
          <cell r="D7">
            <v>234564</v>
          </cell>
        </row>
        <row r="8">
          <cell r="A8" t="str">
            <v>DstvEvents1</v>
          </cell>
          <cell r="B8">
            <v>1020</v>
          </cell>
          <cell r="C8">
            <v>2395</v>
          </cell>
          <cell r="D8">
            <v>13990</v>
          </cell>
        </row>
        <row r="9">
          <cell r="A9" t="str">
            <v>E!Entertainment</v>
          </cell>
          <cell r="B9">
            <v>3028</v>
          </cell>
          <cell r="C9">
            <v>28550</v>
          </cell>
          <cell r="D9">
            <v>101566</v>
          </cell>
        </row>
        <row r="10">
          <cell r="A10" t="str">
            <v>IccCricketWorldCup2011</v>
          </cell>
          <cell r="B10">
            <v>56748</v>
          </cell>
          <cell r="C10">
            <v>61922</v>
          </cell>
          <cell r="D10">
            <v>1364982</v>
          </cell>
        </row>
        <row r="11">
          <cell r="A11" t="str">
            <v>Kyknet</v>
          </cell>
          <cell r="B11">
            <v>405</v>
          </cell>
          <cell r="C11">
            <v>0</v>
          </cell>
          <cell r="D11">
            <v>9339</v>
          </cell>
        </row>
        <row r="12">
          <cell r="A12" t="str">
            <v>LiveOnSupersport</v>
          </cell>
          <cell r="B12">
            <v>0</v>
          </cell>
          <cell r="C12">
            <v>72</v>
          </cell>
          <cell r="D12">
            <v>210</v>
          </cell>
        </row>
        <row r="13">
          <cell r="A13" t="str">
            <v>M-net</v>
          </cell>
          <cell r="B13">
            <v>394</v>
          </cell>
          <cell r="C13">
            <v>1386</v>
          </cell>
          <cell r="D13">
            <v>12262</v>
          </cell>
        </row>
        <row r="14">
          <cell r="A14" t="str">
            <v>Mk</v>
          </cell>
          <cell r="B14">
            <v>523</v>
          </cell>
          <cell r="C14">
            <v>258</v>
          </cell>
          <cell r="D14">
            <v>1672</v>
          </cell>
        </row>
        <row r="15">
          <cell r="A15" t="str">
            <v>Sawsee</v>
          </cell>
          <cell r="B15">
            <v>928</v>
          </cell>
          <cell r="C15">
            <v>2806</v>
          </cell>
          <cell r="D15">
            <v>33774</v>
          </cell>
        </row>
        <row r="16">
          <cell r="A16" t="str">
            <v>SupersportBlitz</v>
          </cell>
          <cell r="B16">
            <v>7462</v>
          </cell>
          <cell r="C16">
            <v>15151</v>
          </cell>
          <cell r="D16">
            <v>303833</v>
          </cell>
        </row>
        <row r="17">
          <cell r="A17" t="str">
            <v>SupersportLiveEvents</v>
          </cell>
          <cell r="B17">
            <v>13534</v>
          </cell>
          <cell r="C17">
            <v>71924</v>
          </cell>
          <cell r="D17">
            <v>1043420</v>
          </cell>
        </row>
        <row r="18">
          <cell r="A18" t="str">
            <v>TraceTv</v>
          </cell>
          <cell r="B18">
            <v>3135</v>
          </cell>
          <cell r="C18">
            <v>105039</v>
          </cell>
          <cell r="D18">
            <v>582753</v>
          </cell>
        </row>
        <row r="19">
          <cell r="A19" t="str">
            <v>Unknown</v>
          </cell>
          <cell r="B19">
            <v>0</v>
          </cell>
          <cell r="C19">
            <v>0</v>
          </cell>
          <cell r="D19">
            <v>0</v>
          </cell>
        </row>
        <row r="20">
          <cell r="A20" t="str">
            <v>Vuzu</v>
          </cell>
          <cell r="B20">
            <v>46</v>
          </cell>
          <cell r="C20">
            <v>404</v>
          </cell>
          <cell r="D20">
            <v>4689</v>
          </cell>
        </row>
        <row r="21">
          <cell r="A21" t="str">
            <v>Wimbledon</v>
          </cell>
          <cell r="B21">
            <v>0</v>
          </cell>
          <cell r="C21">
            <v>0</v>
          </cell>
          <cell r="D21">
            <v>31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metime by Province"/>
    </sheetNames>
    <sheetDataSet>
      <sheetData sheetId="0">
        <row r="1">
          <cell r="B1" t="str">
            <v>Unknown</v>
          </cell>
          <cell r="C1" t="str">
            <v>eastern cape</v>
          </cell>
          <cell r="D1" t="str">
            <v>free state</v>
          </cell>
          <cell r="E1" t="str">
            <v>gauteng</v>
          </cell>
          <cell r="F1" t="str">
            <v>kwazulu natal</v>
          </cell>
          <cell r="G1" t="str">
            <v>limpopo</v>
          </cell>
          <cell r="H1" t="str">
            <v>mpumalanga</v>
          </cell>
          <cell r="I1" t="str">
            <v>north west</v>
          </cell>
          <cell r="J1" t="str">
            <v>northern cape</v>
          </cell>
          <cell r="K1" t="str">
            <v>western cape</v>
          </cell>
        </row>
        <row r="2">
          <cell r="A2" t="str">
            <v>Afternoon</v>
          </cell>
          <cell r="B2">
            <v>70</v>
          </cell>
          <cell r="C2">
            <v>205</v>
          </cell>
          <cell r="D2">
            <v>91</v>
          </cell>
          <cell r="E2">
            <v>1145</v>
          </cell>
          <cell r="F2">
            <v>332</v>
          </cell>
          <cell r="G2">
            <v>235</v>
          </cell>
          <cell r="H2">
            <v>297</v>
          </cell>
          <cell r="I2">
            <v>109</v>
          </cell>
          <cell r="J2">
            <v>78</v>
          </cell>
          <cell r="K2">
            <v>598</v>
          </cell>
        </row>
        <row r="3">
          <cell r="A3" t="str">
            <v>Evening/Prime</v>
          </cell>
          <cell r="B3">
            <v>72</v>
          </cell>
          <cell r="C3">
            <v>176</v>
          </cell>
          <cell r="D3">
            <v>90</v>
          </cell>
          <cell r="E3">
            <v>990</v>
          </cell>
          <cell r="F3">
            <v>265</v>
          </cell>
          <cell r="G3">
            <v>191</v>
          </cell>
          <cell r="H3">
            <v>249</v>
          </cell>
          <cell r="I3">
            <v>92</v>
          </cell>
          <cell r="J3">
            <v>63</v>
          </cell>
          <cell r="K3">
            <v>528</v>
          </cell>
        </row>
        <row r="4">
          <cell r="A4" t="str">
            <v>Morning</v>
          </cell>
          <cell r="B4">
            <v>85</v>
          </cell>
          <cell r="C4">
            <v>221</v>
          </cell>
          <cell r="D4">
            <v>87</v>
          </cell>
          <cell r="E4">
            <v>1136</v>
          </cell>
          <cell r="F4">
            <v>300</v>
          </cell>
          <cell r="G4">
            <v>258</v>
          </cell>
          <cell r="H4">
            <v>283</v>
          </cell>
          <cell r="I4">
            <v>108</v>
          </cell>
          <cell r="J4">
            <v>66</v>
          </cell>
          <cell r="K4">
            <v>541</v>
          </cell>
        </row>
        <row r="5">
          <cell r="A5" t="str">
            <v>Night</v>
          </cell>
          <cell r="B5">
            <v>36</v>
          </cell>
          <cell r="C5">
            <v>88</v>
          </cell>
          <cell r="D5">
            <v>24</v>
          </cell>
          <cell r="E5">
            <v>383</v>
          </cell>
          <cell r="F5">
            <v>104</v>
          </cell>
          <cell r="G5">
            <v>79</v>
          </cell>
          <cell r="H5">
            <v>89</v>
          </cell>
          <cell r="I5">
            <v>35</v>
          </cell>
          <cell r="J5">
            <v>23</v>
          </cell>
          <cell r="K5">
            <v>178</v>
          </cell>
        </row>
        <row r="6">
          <cell r="A6" t="str">
            <v>Unknown</v>
          </cell>
          <cell r="B6">
            <v>526</v>
          </cell>
          <cell r="C6">
            <v>16</v>
          </cell>
          <cell r="D6">
            <v>9</v>
          </cell>
          <cell r="E6">
            <v>97</v>
          </cell>
          <cell r="F6">
            <v>33</v>
          </cell>
          <cell r="G6">
            <v>26</v>
          </cell>
          <cell r="H6">
            <v>30</v>
          </cell>
          <cell r="I6">
            <v>9</v>
          </cell>
          <cell r="J6">
            <v>4</v>
          </cell>
          <cell r="K6">
            <v>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z_Question_Weekly_Engagement"/>
    </sheetNames>
    <sheetDataSet>
      <sheetData sheetId="0">
        <row r="1">
          <cell r="B1" t="str">
            <v>Afternoon</v>
          </cell>
          <cell r="C1" t="str">
            <v>Evening/Prime</v>
          </cell>
          <cell r="D1" t="str">
            <v>Morning</v>
          </cell>
          <cell r="E1" t="str">
            <v>Night</v>
          </cell>
        </row>
        <row r="2">
          <cell r="A2" t="str">
            <v>Mon</v>
          </cell>
          <cell r="B2">
            <v>144056</v>
          </cell>
          <cell r="C2">
            <v>83208</v>
          </cell>
          <cell r="D2">
            <v>123307</v>
          </cell>
          <cell r="E2">
            <v>72919</v>
          </cell>
        </row>
        <row r="3">
          <cell r="A3" t="str">
            <v>Tue</v>
          </cell>
          <cell r="B3">
            <v>264834</v>
          </cell>
          <cell r="C3">
            <v>182769</v>
          </cell>
          <cell r="D3">
            <v>201916</v>
          </cell>
          <cell r="E3">
            <v>69178</v>
          </cell>
        </row>
        <row r="4">
          <cell r="A4" t="str">
            <v>Wed</v>
          </cell>
          <cell r="B4">
            <v>343008</v>
          </cell>
          <cell r="C4">
            <v>144385</v>
          </cell>
          <cell r="D4">
            <v>302034</v>
          </cell>
          <cell r="E4">
            <v>55099</v>
          </cell>
        </row>
        <row r="5">
          <cell r="A5" t="str">
            <v>Thu</v>
          </cell>
          <cell r="B5">
            <v>277140</v>
          </cell>
          <cell r="C5">
            <v>176016</v>
          </cell>
          <cell r="D5">
            <v>290769</v>
          </cell>
          <cell r="E5">
            <v>93951</v>
          </cell>
        </row>
        <row r="6">
          <cell r="A6" t="str">
            <v>Fri</v>
          </cell>
          <cell r="B6">
            <v>359661</v>
          </cell>
          <cell r="C6">
            <v>246988</v>
          </cell>
          <cell r="D6">
            <v>225220</v>
          </cell>
          <cell r="E6">
            <v>66444</v>
          </cell>
        </row>
        <row r="7">
          <cell r="A7" t="str">
            <v>Sat</v>
          </cell>
          <cell r="B7">
            <v>409062</v>
          </cell>
          <cell r="C7">
            <v>236225</v>
          </cell>
          <cell r="D7">
            <v>327787</v>
          </cell>
          <cell r="E7">
            <v>103660</v>
          </cell>
        </row>
        <row r="8">
          <cell r="A8" t="str">
            <v>Sun</v>
          </cell>
          <cell r="B8">
            <v>231837</v>
          </cell>
          <cell r="C8">
            <v>162685</v>
          </cell>
          <cell r="D8">
            <v>234668</v>
          </cell>
          <cell r="E8">
            <v>53977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z_Question_Race_Channel_Engag"/>
    </sheetNames>
    <sheetDataSet>
      <sheetData sheetId="0">
        <row r="1">
          <cell r="B1" t="str">
            <v>Unknown</v>
          </cell>
          <cell r="C1" t="str">
            <v>black</v>
          </cell>
          <cell r="D1" t="str">
            <v>coloured</v>
          </cell>
          <cell r="E1" t="str">
            <v>indian_asian</v>
          </cell>
          <cell r="F1" t="str">
            <v>other</v>
          </cell>
          <cell r="G1" t="str">
            <v>white</v>
          </cell>
        </row>
        <row r="2">
          <cell r="A2" t="str">
            <v>AfricaMagic</v>
          </cell>
          <cell r="B2">
            <v>9216</v>
          </cell>
          <cell r="C2">
            <v>150077</v>
          </cell>
          <cell r="D2">
            <v>11980</v>
          </cell>
          <cell r="E2">
            <v>1849</v>
          </cell>
          <cell r="F2">
            <v>232</v>
          </cell>
          <cell r="G2">
            <v>2018</v>
          </cell>
        </row>
        <row r="3">
          <cell r="A3" t="str">
            <v>Boomerang</v>
          </cell>
          <cell r="B3">
            <v>29940</v>
          </cell>
          <cell r="C3">
            <v>120380</v>
          </cell>
          <cell r="D3">
            <v>51345</v>
          </cell>
          <cell r="E3">
            <v>20047</v>
          </cell>
          <cell r="F3">
            <v>4514</v>
          </cell>
          <cell r="G3">
            <v>37507</v>
          </cell>
        </row>
        <row r="4">
          <cell r="A4" t="str">
            <v>CartoonNetwork</v>
          </cell>
          <cell r="B4">
            <v>26913</v>
          </cell>
          <cell r="C4">
            <v>96060</v>
          </cell>
          <cell r="D4">
            <v>60649</v>
          </cell>
          <cell r="E4">
            <v>20282</v>
          </cell>
          <cell r="F4">
            <v>83</v>
          </cell>
          <cell r="G4">
            <v>48930</v>
          </cell>
        </row>
        <row r="5">
          <cell r="A5" t="str">
            <v>ChannelO</v>
          </cell>
          <cell r="B5">
            <v>46581</v>
          </cell>
          <cell r="C5">
            <v>528927</v>
          </cell>
          <cell r="D5">
            <v>89196</v>
          </cell>
          <cell r="E5">
            <v>19398</v>
          </cell>
          <cell r="F5">
            <v>531</v>
          </cell>
          <cell r="G5">
            <v>9288</v>
          </cell>
        </row>
        <row r="6">
          <cell r="A6" t="str">
            <v>Cnn</v>
          </cell>
          <cell r="B6">
            <v>64147</v>
          </cell>
          <cell r="C6">
            <v>108390</v>
          </cell>
          <cell r="D6">
            <v>28599</v>
          </cell>
          <cell r="E6">
            <v>12360</v>
          </cell>
          <cell r="F6">
            <v>3029</v>
          </cell>
          <cell r="G6">
            <v>27427</v>
          </cell>
        </row>
        <row r="7">
          <cell r="A7" t="str">
            <v>E!Entertainment</v>
          </cell>
          <cell r="B7">
            <v>16426</v>
          </cell>
          <cell r="C7">
            <v>49638</v>
          </cell>
          <cell r="D7">
            <v>27452</v>
          </cell>
          <cell r="E7">
            <v>18662</v>
          </cell>
          <cell r="F7">
            <v>3194</v>
          </cell>
          <cell r="G7">
            <v>17772</v>
          </cell>
        </row>
        <row r="8">
          <cell r="A8" t="str">
            <v>IccCricketWorldCup2011</v>
          </cell>
          <cell r="B8">
            <v>172012</v>
          </cell>
          <cell r="C8">
            <v>155874</v>
          </cell>
          <cell r="D8">
            <v>157014</v>
          </cell>
          <cell r="E8">
            <v>809402</v>
          </cell>
          <cell r="F8">
            <v>20532</v>
          </cell>
          <cell r="G8">
            <v>168472</v>
          </cell>
        </row>
        <row r="9">
          <cell r="A9" t="str">
            <v>SupersportBlitz</v>
          </cell>
          <cell r="B9">
            <v>25321</v>
          </cell>
          <cell r="C9">
            <v>148980</v>
          </cell>
          <cell r="D9">
            <v>78195</v>
          </cell>
          <cell r="E9">
            <v>45396</v>
          </cell>
          <cell r="F9">
            <v>1521</v>
          </cell>
          <cell r="G9">
            <v>27033</v>
          </cell>
        </row>
        <row r="10">
          <cell r="A10" t="str">
            <v>SupersportLiveEvents</v>
          </cell>
          <cell r="B10">
            <v>121352</v>
          </cell>
          <cell r="C10">
            <v>247872</v>
          </cell>
          <cell r="D10">
            <v>225266</v>
          </cell>
          <cell r="E10">
            <v>251334</v>
          </cell>
          <cell r="F10">
            <v>4870</v>
          </cell>
          <cell r="G10">
            <v>277352</v>
          </cell>
        </row>
        <row r="11">
          <cell r="A11" t="str">
            <v>TraceTv</v>
          </cell>
          <cell r="B11">
            <v>52812</v>
          </cell>
          <cell r="C11">
            <v>424017</v>
          </cell>
          <cell r="D11">
            <v>145239</v>
          </cell>
          <cell r="E11">
            <v>40800</v>
          </cell>
          <cell r="F11">
            <v>7362</v>
          </cell>
          <cell r="G11">
            <v>20679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z_Question_Age_ViewType_Distr"/>
    </sheetNames>
    <sheetDataSet>
      <sheetData sheetId="0">
        <row r="1">
          <cell r="B1" t="str">
            <v>Invalid Duration</v>
          </cell>
          <cell r="C1" t="str">
            <v>Long</v>
          </cell>
          <cell r="D1" t="str">
            <v>Medium</v>
          </cell>
          <cell r="E1" t="str">
            <v>Short</v>
          </cell>
        </row>
        <row r="2">
          <cell r="A2" t="str">
            <v>Kids</v>
          </cell>
          <cell r="B2">
            <v>2</v>
          </cell>
          <cell r="C2">
            <v>10</v>
          </cell>
          <cell r="D2">
            <v>52</v>
          </cell>
          <cell r="E2">
            <v>21</v>
          </cell>
        </row>
        <row r="3">
          <cell r="A3" t="str">
            <v>Mature_Adults</v>
          </cell>
          <cell r="B3">
            <v>50</v>
          </cell>
          <cell r="C3">
            <v>258</v>
          </cell>
          <cell r="D3">
            <v>1811</v>
          </cell>
          <cell r="E3">
            <v>1259</v>
          </cell>
        </row>
        <row r="4">
          <cell r="A4" t="str">
            <v>Senior</v>
          </cell>
          <cell r="B4">
            <v>6</v>
          </cell>
          <cell r="C4">
            <v>32</v>
          </cell>
          <cell r="D4">
            <v>272</v>
          </cell>
          <cell r="E4">
            <v>196</v>
          </cell>
        </row>
        <row r="5">
          <cell r="A5" t="str">
            <v>Unknown</v>
          </cell>
          <cell r="B5">
            <v>745</v>
          </cell>
          <cell r="C5">
            <v>17</v>
          </cell>
          <cell r="D5">
            <v>140</v>
          </cell>
          <cell r="E5">
            <v>103</v>
          </cell>
        </row>
        <row r="6">
          <cell r="A6" t="str">
            <v>Young_Adult</v>
          </cell>
          <cell r="B6">
            <v>170</v>
          </cell>
          <cell r="C6">
            <v>431</v>
          </cell>
          <cell r="D6">
            <v>3058</v>
          </cell>
          <cell r="E6">
            <v>2143</v>
          </cell>
        </row>
        <row r="7">
          <cell r="A7" t="str">
            <v>Youth</v>
          </cell>
          <cell r="B7">
            <v>17</v>
          </cell>
          <cell r="C7">
            <v>7</v>
          </cell>
          <cell r="D7">
            <v>104</v>
          </cell>
          <cell r="E7">
            <v>85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_Race_vs_TimeOfDay"/>
    </sheetNames>
    <sheetDataSet>
      <sheetData sheetId="0">
        <row r="1">
          <cell r="B1" t="str">
            <v>Afternoon</v>
          </cell>
          <cell r="C1" t="str">
            <v>Evening/Prime</v>
          </cell>
          <cell r="D1" t="str">
            <v>Morning</v>
          </cell>
          <cell r="E1" t="str">
            <v>Night</v>
          </cell>
          <cell r="F1" t="str">
            <v>Unknown</v>
          </cell>
        </row>
        <row r="2">
          <cell r="A2" t="str">
            <v>Unknown</v>
          </cell>
          <cell r="B2">
            <v>320</v>
          </cell>
          <cell r="C2">
            <v>291</v>
          </cell>
          <cell r="D2">
            <v>335</v>
          </cell>
          <cell r="E2">
            <v>111</v>
          </cell>
          <cell r="F2">
            <v>538</v>
          </cell>
        </row>
        <row r="3">
          <cell r="A3" t="str">
            <v>black</v>
          </cell>
          <cell r="B3">
            <v>1301</v>
          </cell>
          <cell r="C3">
            <v>1358</v>
          </cell>
          <cell r="D3">
            <v>1163</v>
          </cell>
          <cell r="E3">
            <v>509</v>
          </cell>
          <cell r="F3">
            <v>149</v>
          </cell>
        </row>
        <row r="4">
          <cell r="A4" t="str">
            <v>coloured</v>
          </cell>
          <cell r="B4">
            <v>514</v>
          </cell>
          <cell r="C4">
            <v>446</v>
          </cell>
          <cell r="D4">
            <v>485</v>
          </cell>
          <cell r="E4">
            <v>188</v>
          </cell>
          <cell r="F4">
            <v>26</v>
          </cell>
        </row>
        <row r="5">
          <cell r="A5" t="str">
            <v>indian_asian</v>
          </cell>
          <cell r="B5">
            <v>562</v>
          </cell>
          <cell r="C5">
            <v>312</v>
          </cell>
          <cell r="D5">
            <v>601</v>
          </cell>
          <cell r="E5">
            <v>100</v>
          </cell>
          <cell r="F5">
            <v>13</v>
          </cell>
        </row>
        <row r="6">
          <cell r="A6" t="str">
            <v>other</v>
          </cell>
          <cell r="B6">
            <v>35</v>
          </cell>
          <cell r="C6">
            <v>28</v>
          </cell>
          <cell r="D6">
            <v>29</v>
          </cell>
          <cell r="E6">
            <v>10</v>
          </cell>
          <cell r="F6">
            <v>6</v>
          </cell>
        </row>
        <row r="7">
          <cell r="A7" t="str">
            <v>white</v>
          </cell>
          <cell r="B7">
            <v>424</v>
          </cell>
          <cell r="C7">
            <v>279</v>
          </cell>
          <cell r="D7">
            <v>470</v>
          </cell>
          <cell r="E7">
            <v>119</v>
          </cell>
          <cell r="F7">
            <v>34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etse Khotlele" refreshedDate="46131.83738449074" createdVersion="8" refreshedVersion="8" minRefreshableVersion="3" recordCount="7" xr:uid="{B2EBB2BE-2DD5-4A4B-B0DA-8D3B23EDF16F}">
  <cacheSource type="worksheet">
    <worksheetSource ref="A1:D8" sheet="Sheet8"/>
  </cacheSource>
  <cacheFields count="4">
    <cacheField name="Day of the Week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Total Seconds Watched" numFmtId="0">
      <sharedItems containsMixedTypes="1" containsNumber="1" minValue="423.49" maxValue="898.31299999999999" count="7">
        <n v="423.49"/>
        <n v="718.697"/>
        <n v="844.52599999999995"/>
        <n v="837.87599999999998"/>
        <n v="898.31299999999999"/>
        <s v="1,076,734"/>
        <n v="683.16700000000003"/>
      </sharedItems>
    </cacheField>
    <cacheField name="Number of Sessions" numFmtId="0">
      <sharedItems containsSemiMixedTypes="0" containsString="0" containsNumber="1" minValue="1.321" maxValue="974" count="7">
        <n v="974"/>
        <n v="1.321"/>
        <n v="1.5389999999999999"/>
        <n v="1.4710000000000001"/>
        <n v="1.6419999999999999"/>
        <n v="1.655"/>
        <n v="1.3979999999999999"/>
      </sharedItems>
    </cacheField>
    <cacheField name="Avg. Seconds per Se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s v="434.8"/>
  </r>
  <r>
    <x v="1"/>
    <x v="1"/>
    <x v="1"/>
    <s v="544.1"/>
  </r>
  <r>
    <x v="2"/>
    <x v="2"/>
    <x v="2"/>
    <s v="548.8"/>
  </r>
  <r>
    <x v="3"/>
    <x v="3"/>
    <x v="3"/>
    <s v="569.6"/>
  </r>
  <r>
    <x v="4"/>
    <x v="4"/>
    <x v="4"/>
    <s v="547.1"/>
  </r>
  <r>
    <x v="5"/>
    <x v="5"/>
    <x v="5"/>
    <s v="650.6"/>
  </r>
  <r>
    <x v="6"/>
    <x v="6"/>
    <x v="6"/>
    <s v="488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D769C-65E1-419B-8ABF-4F81E6BC876B}" name="PivotTable28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1" firstHeaderRow="0" firstDataRow="1" firstDataCol="1"/>
  <pivotFields count="4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6"/>
        <item x="1"/>
        <item x="3"/>
        <item x="2"/>
        <item x="4"/>
        <item x="5"/>
        <item t="default"/>
      </items>
    </pivotField>
    <pivotField dataField="1" showAll="0">
      <items count="8">
        <item x="1"/>
        <item x="6"/>
        <item x="3"/>
        <item x="2"/>
        <item x="4"/>
        <item x="5"/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Sessions" fld="2" baseField="0" baseItem="0"/>
    <dataField name="Count of Avg. Seconds per Session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84BA-1DBC-4A6D-9398-7DC4A0AF5867}">
  <dimension ref="A1:G21"/>
  <sheetViews>
    <sheetView topLeftCell="G1" workbookViewId="0">
      <selection activeCell="C32" sqref="C32"/>
    </sheetView>
  </sheetViews>
  <sheetFormatPr defaultRowHeight="14.4" x14ac:dyDescent="0.3"/>
  <cols>
    <col min="1" max="1" width="15.5546875" customWidth="1"/>
    <col min="2" max="2" width="12.21875" customWidth="1"/>
    <col min="3" max="3" width="13.44140625" customWidth="1"/>
    <col min="4" max="4" width="11.109375" customWidth="1"/>
    <col min="5" max="5" width="11.5546875" customWidth="1"/>
    <col min="6" max="6" width="13.88671875" customWidth="1"/>
    <col min="7" max="7" width="11.77734375" customWidth="1"/>
  </cols>
  <sheetData>
    <row r="1" spans="1:7" s="1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7" t="s">
        <v>7</v>
      </c>
      <c r="B2" s="3">
        <v>499</v>
      </c>
      <c r="C2" s="3">
        <v>81056</v>
      </c>
      <c r="D2" s="3">
        <v>7916</v>
      </c>
      <c r="E2" s="3">
        <v>2947</v>
      </c>
      <c r="F2" s="3">
        <v>80378</v>
      </c>
      <c r="G2" s="8">
        <v>2576</v>
      </c>
    </row>
    <row r="3" spans="1:7" x14ac:dyDescent="0.3">
      <c r="A3" s="7" t="s">
        <v>8</v>
      </c>
      <c r="B3" s="3">
        <v>595</v>
      </c>
      <c r="C3" s="3">
        <v>90075</v>
      </c>
      <c r="D3" s="3">
        <v>8454</v>
      </c>
      <c r="E3" s="3">
        <v>7742</v>
      </c>
      <c r="F3" s="3">
        <v>152389</v>
      </c>
      <c r="G3" s="8">
        <v>4478</v>
      </c>
    </row>
    <row r="4" spans="1:7" x14ac:dyDescent="0.3">
      <c r="A4" s="7" t="s">
        <v>9</v>
      </c>
      <c r="B4" s="3">
        <v>0</v>
      </c>
      <c r="C4" s="3">
        <v>552</v>
      </c>
      <c r="D4" s="3">
        <v>493</v>
      </c>
      <c r="E4" s="3">
        <v>46</v>
      </c>
      <c r="F4" s="3">
        <v>2097</v>
      </c>
      <c r="G4" s="8">
        <v>22</v>
      </c>
    </row>
    <row r="5" spans="1:7" x14ac:dyDescent="0.3">
      <c r="A5" s="7" t="s">
        <v>10</v>
      </c>
      <c r="B5" s="3">
        <v>117</v>
      </c>
      <c r="C5" s="3">
        <v>104348</v>
      </c>
      <c r="D5" s="3">
        <v>3788</v>
      </c>
      <c r="E5" s="3">
        <v>5835</v>
      </c>
      <c r="F5" s="3">
        <v>132086</v>
      </c>
      <c r="G5" s="8">
        <v>6743</v>
      </c>
    </row>
    <row r="6" spans="1:7" x14ac:dyDescent="0.3">
      <c r="A6" s="7" t="s">
        <v>11</v>
      </c>
      <c r="B6" s="3">
        <v>5061</v>
      </c>
      <c r="C6" s="3">
        <v>184704</v>
      </c>
      <c r="D6" s="3">
        <v>16179</v>
      </c>
      <c r="E6" s="3">
        <v>22464</v>
      </c>
      <c r="F6" s="3">
        <v>448827</v>
      </c>
      <c r="G6" s="8">
        <v>16686</v>
      </c>
    </row>
    <row r="7" spans="1:7" x14ac:dyDescent="0.3">
      <c r="A7" s="7" t="s">
        <v>12</v>
      </c>
      <c r="B7" s="3">
        <v>141</v>
      </c>
      <c r="C7" s="3">
        <v>153019</v>
      </c>
      <c r="D7" s="3">
        <v>32570</v>
      </c>
      <c r="E7" s="3">
        <v>3913</v>
      </c>
      <c r="F7" s="3">
        <v>53748</v>
      </c>
      <c r="G7" s="8">
        <v>608</v>
      </c>
    </row>
    <row r="8" spans="1:7" x14ac:dyDescent="0.3">
      <c r="A8" s="7" t="s">
        <v>13</v>
      </c>
      <c r="B8" s="3">
        <v>165</v>
      </c>
      <c r="C8" s="3">
        <v>5480</v>
      </c>
      <c r="D8" s="3">
        <v>710</v>
      </c>
      <c r="E8" s="3">
        <v>1020</v>
      </c>
      <c r="F8" s="3">
        <v>9970</v>
      </c>
      <c r="G8" s="8">
        <v>60</v>
      </c>
    </row>
    <row r="9" spans="1:7" x14ac:dyDescent="0.3">
      <c r="A9" s="7" t="s">
        <v>14</v>
      </c>
      <c r="B9" s="3">
        <v>620</v>
      </c>
      <c r="C9" s="3">
        <v>38292</v>
      </c>
      <c r="D9" s="3">
        <v>7700</v>
      </c>
      <c r="E9" s="3">
        <v>3028</v>
      </c>
      <c r="F9" s="3">
        <v>83210</v>
      </c>
      <c r="G9" s="8">
        <v>294</v>
      </c>
    </row>
    <row r="10" spans="1:7" x14ac:dyDescent="0.3">
      <c r="A10" s="7" t="s">
        <v>15</v>
      </c>
      <c r="B10" s="3">
        <v>40056</v>
      </c>
      <c r="C10" s="3">
        <v>515250</v>
      </c>
      <c r="D10" s="3">
        <v>45976</v>
      </c>
      <c r="E10" s="3">
        <v>56748</v>
      </c>
      <c r="F10" s="3">
        <v>817500</v>
      </c>
      <c r="G10" s="8">
        <v>8122</v>
      </c>
    </row>
    <row r="11" spans="1:7" x14ac:dyDescent="0.3">
      <c r="A11" s="7" t="s">
        <v>16</v>
      </c>
      <c r="B11" s="3">
        <v>0</v>
      </c>
      <c r="C11" s="3">
        <v>2247</v>
      </c>
      <c r="D11" s="3">
        <v>1869</v>
      </c>
      <c r="E11" s="3">
        <v>405</v>
      </c>
      <c r="F11" s="3">
        <v>5223</v>
      </c>
      <c r="G11" s="8">
        <v>0</v>
      </c>
    </row>
    <row r="12" spans="1:7" x14ac:dyDescent="0.3">
      <c r="A12" s="7" t="s">
        <v>17</v>
      </c>
      <c r="B12" s="3">
        <v>0</v>
      </c>
      <c r="C12" s="3">
        <v>210</v>
      </c>
      <c r="D12" s="3">
        <v>72</v>
      </c>
      <c r="E12" s="3">
        <v>0</v>
      </c>
      <c r="F12" s="3">
        <v>0</v>
      </c>
      <c r="G12" s="8">
        <v>0</v>
      </c>
    </row>
    <row r="13" spans="1:7" x14ac:dyDescent="0.3">
      <c r="A13" s="7" t="s">
        <v>18</v>
      </c>
      <c r="B13" s="3">
        <v>203</v>
      </c>
      <c r="C13" s="3">
        <v>5924</v>
      </c>
      <c r="D13" s="3">
        <v>622</v>
      </c>
      <c r="E13" s="3">
        <v>394</v>
      </c>
      <c r="F13" s="3">
        <v>6104</v>
      </c>
      <c r="G13" s="8">
        <v>795</v>
      </c>
    </row>
    <row r="14" spans="1:7" x14ac:dyDescent="0.3">
      <c r="A14" s="7" t="s">
        <v>19</v>
      </c>
      <c r="B14" s="3">
        <v>42</v>
      </c>
      <c r="C14" s="3">
        <v>645</v>
      </c>
      <c r="D14" s="3">
        <v>151</v>
      </c>
      <c r="E14" s="3">
        <v>523</v>
      </c>
      <c r="F14" s="3">
        <v>1092</v>
      </c>
      <c r="G14" s="8">
        <v>0</v>
      </c>
    </row>
    <row r="15" spans="1:7" x14ac:dyDescent="0.3">
      <c r="A15" s="7" t="s">
        <v>20</v>
      </c>
      <c r="B15" s="3">
        <v>221</v>
      </c>
      <c r="C15" s="3">
        <v>15982</v>
      </c>
      <c r="D15" s="3">
        <v>643</v>
      </c>
      <c r="E15" s="3">
        <v>928</v>
      </c>
      <c r="F15" s="3">
        <v>19702</v>
      </c>
      <c r="G15" s="8">
        <v>32</v>
      </c>
    </row>
    <row r="16" spans="1:7" x14ac:dyDescent="0.3">
      <c r="A16" s="7" t="s">
        <v>21</v>
      </c>
      <c r="B16" s="3">
        <v>1496</v>
      </c>
      <c r="C16" s="3">
        <v>144495</v>
      </c>
      <c r="D16" s="3">
        <v>30384</v>
      </c>
      <c r="E16" s="3">
        <v>7434</v>
      </c>
      <c r="F16" s="3">
        <v>134461</v>
      </c>
      <c r="G16" s="8">
        <v>8176</v>
      </c>
    </row>
    <row r="17" spans="1:7" x14ac:dyDescent="0.3">
      <c r="A17" s="7" t="s">
        <v>22</v>
      </c>
      <c r="B17" s="3">
        <v>5204</v>
      </c>
      <c r="C17" s="3">
        <v>424748</v>
      </c>
      <c r="D17" s="3">
        <v>43958</v>
      </c>
      <c r="E17" s="3">
        <v>13534</v>
      </c>
      <c r="F17" s="3">
        <v>638944</v>
      </c>
      <c r="G17" s="8">
        <v>2490</v>
      </c>
    </row>
    <row r="18" spans="1:7" x14ac:dyDescent="0.3">
      <c r="A18" s="7" t="s">
        <v>23</v>
      </c>
      <c r="B18" s="3">
        <v>11586</v>
      </c>
      <c r="C18" s="3">
        <v>152829</v>
      </c>
      <c r="D18" s="3">
        <v>23910</v>
      </c>
      <c r="E18" s="3">
        <v>3456</v>
      </c>
      <c r="F18" s="3">
        <v>479286</v>
      </c>
      <c r="G18" s="8">
        <v>19860</v>
      </c>
    </row>
    <row r="19" spans="1:7" x14ac:dyDescent="0.3">
      <c r="A19" s="7" t="s">
        <v>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8">
        <v>0</v>
      </c>
    </row>
    <row r="20" spans="1:7" x14ac:dyDescent="0.3">
      <c r="A20" s="7" t="s">
        <v>24</v>
      </c>
      <c r="B20" s="3">
        <v>0</v>
      </c>
      <c r="C20" s="3">
        <v>1632</v>
      </c>
      <c r="D20" s="3">
        <v>126</v>
      </c>
      <c r="E20" s="3">
        <v>46</v>
      </c>
      <c r="F20" s="3">
        <v>3277</v>
      </c>
      <c r="G20" s="8">
        <v>58</v>
      </c>
    </row>
    <row r="21" spans="1:7" ht="15" thickBot="1" x14ac:dyDescent="0.35">
      <c r="A21" s="9" t="s">
        <v>25</v>
      </c>
      <c r="B21" s="10">
        <v>0</v>
      </c>
      <c r="C21" s="10">
        <v>31</v>
      </c>
      <c r="D21" s="10">
        <v>0</v>
      </c>
      <c r="E21" s="10">
        <v>0</v>
      </c>
      <c r="F21" s="10">
        <v>0</v>
      </c>
      <c r="G21" s="11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CF59-CDED-430B-94F9-6FCB3F516817}">
  <dimension ref="A1:F7"/>
  <sheetViews>
    <sheetView workbookViewId="0">
      <selection activeCell="Q9" sqref="Q9"/>
    </sheetView>
  </sheetViews>
  <sheetFormatPr defaultRowHeight="14.4" x14ac:dyDescent="0.3"/>
  <sheetData>
    <row r="1" spans="1:6" x14ac:dyDescent="0.3">
      <c r="A1" s="27" t="s">
        <v>60</v>
      </c>
      <c r="B1" s="27" t="s">
        <v>38</v>
      </c>
      <c r="C1" s="27" t="s">
        <v>39</v>
      </c>
      <c r="D1" s="27" t="s">
        <v>40</v>
      </c>
      <c r="E1" s="27" t="s">
        <v>41</v>
      </c>
      <c r="F1" s="27" t="s">
        <v>4</v>
      </c>
    </row>
    <row r="2" spans="1:6" x14ac:dyDescent="0.3">
      <c r="A2" s="27" t="s">
        <v>4</v>
      </c>
      <c r="B2" s="27">
        <v>320</v>
      </c>
      <c r="C2" s="27">
        <v>291</v>
      </c>
      <c r="D2" s="27">
        <v>335</v>
      </c>
      <c r="E2" s="27">
        <v>111</v>
      </c>
      <c r="F2" s="27">
        <v>538</v>
      </c>
    </row>
    <row r="3" spans="1:6" x14ac:dyDescent="0.3">
      <c r="A3" s="27" t="s">
        <v>50</v>
      </c>
      <c r="B3" s="27">
        <v>1301</v>
      </c>
      <c r="C3" s="27">
        <v>1358</v>
      </c>
      <c r="D3" s="27">
        <v>1163</v>
      </c>
      <c r="E3" s="27">
        <v>509</v>
      </c>
      <c r="F3" s="27">
        <v>149</v>
      </c>
    </row>
    <row r="4" spans="1:6" x14ac:dyDescent="0.3">
      <c r="A4" s="27" t="s">
        <v>51</v>
      </c>
      <c r="B4" s="27">
        <v>514</v>
      </c>
      <c r="C4" s="27">
        <v>446</v>
      </c>
      <c r="D4" s="27">
        <v>485</v>
      </c>
      <c r="E4" s="27">
        <v>188</v>
      </c>
      <c r="F4" s="27">
        <v>26</v>
      </c>
    </row>
    <row r="5" spans="1:6" x14ac:dyDescent="0.3">
      <c r="A5" s="27" t="s">
        <v>52</v>
      </c>
      <c r="B5" s="27">
        <v>562</v>
      </c>
      <c r="C5" s="27">
        <v>312</v>
      </c>
      <c r="D5" s="27">
        <v>601</v>
      </c>
      <c r="E5" s="27">
        <v>100</v>
      </c>
      <c r="F5" s="27">
        <v>13</v>
      </c>
    </row>
    <row r="6" spans="1:6" x14ac:dyDescent="0.3">
      <c r="A6" s="27" t="s">
        <v>53</v>
      </c>
      <c r="B6" s="27">
        <v>35</v>
      </c>
      <c r="C6" s="27">
        <v>28</v>
      </c>
      <c r="D6" s="27">
        <v>29</v>
      </c>
      <c r="E6" s="27">
        <v>10</v>
      </c>
      <c r="F6" s="27">
        <v>6</v>
      </c>
    </row>
    <row r="7" spans="1:6" x14ac:dyDescent="0.3">
      <c r="A7" s="27" t="s">
        <v>54</v>
      </c>
      <c r="B7" s="27">
        <v>424</v>
      </c>
      <c r="C7" s="27">
        <v>279</v>
      </c>
      <c r="D7" s="27">
        <v>470</v>
      </c>
      <c r="E7" s="27">
        <v>119</v>
      </c>
      <c r="F7" s="27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346C-2811-44D4-8E61-74D11E707EB1}">
  <dimension ref="A1:E8"/>
  <sheetViews>
    <sheetView tabSelected="1" workbookViewId="0">
      <selection activeCell="M20" sqref="M20"/>
    </sheetView>
  </sheetViews>
  <sheetFormatPr defaultRowHeight="14.4" x14ac:dyDescent="0.3"/>
  <cols>
    <col min="1" max="2" width="11.44140625" customWidth="1"/>
    <col min="3" max="3" width="12.21875" customWidth="1"/>
    <col min="4" max="4" width="12" customWidth="1"/>
    <col min="5" max="5" width="12.44140625" customWidth="1"/>
  </cols>
  <sheetData>
    <row r="1" spans="1:5" x14ac:dyDescent="0.3">
      <c r="A1" s="12" t="s">
        <v>42</v>
      </c>
      <c r="B1" s="13" t="s">
        <v>38</v>
      </c>
      <c r="C1" s="13" t="s">
        <v>39</v>
      </c>
      <c r="D1" s="13" t="s">
        <v>40</v>
      </c>
      <c r="E1" s="14" t="s">
        <v>41</v>
      </c>
    </row>
    <row r="2" spans="1:5" x14ac:dyDescent="0.3">
      <c r="A2" s="15" t="s">
        <v>43</v>
      </c>
      <c r="B2" s="2">
        <v>144056</v>
      </c>
      <c r="C2" s="2">
        <v>83208</v>
      </c>
      <c r="D2" s="2">
        <v>123307</v>
      </c>
      <c r="E2" s="16">
        <v>72919</v>
      </c>
    </row>
    <row r="3" spans="1:5" x14ac:dyDescent="0.3">
      <c r="A3" s="15" t="s">
        <v>44</v>
      </c>
      <c r="B3" s="2">
        <v>264834</v>
      </c>
      <c r="C3" s="2">
        <v>182769</v>
      </c>
      <c r="D3" s="2">
        <v>201916</v>
      </c>
      <c r="E3" s="16">
        <v>69178</v>
      </c>
    </row>
    <row r="4" spans="1:5" x14ac:dyDescent="0.3">
      <c r="A4" s="15" t="s">
        <v>45</v>
      </c>
      <c r="B4" s="2">
        <v>343008</v>
      </c>
      <c r="C4" s="2">
        <v>144385</v>
      </c>
      <c r="D4" s="2">
        <v>302034</v>
      </c>
      <c r="E4" s="16">
        <v>55099</v>
      </c>
    </row>
    <row r="5" spans="1:5" x14ac:dyDescent="0.3">
      <c r="A5" s="15" t="s">
        <v>46</v>
      </c>
      <c r="B5" s="2">
        <v>277140</v>
      </c>
      <c r="C5" s="2">
        <v>176016</v>
      </c>
      <c r="D5" s="2">
        <v>290769</v>
      </c>
      <c r="E5" s="16">
        <v>93951</v>
      </c>
    </row>
    <row r="6" spans="1:5" x14ac:dyDescent="0.3">
      <c r="A6" s="15" t="s">
        <v>47</v>
      </c>
      <c r="B6" s="2">
        <v>359661</v>
      </c>
      <c r="C6" s="2">
        <v>246988</v>
      </c>
      <c r="D6" s="2">
        <v>225220</v>
      </c>
      <c r="E6" s="16">
        <v>66444</v>
      </c>
    </row>
    <row r="7" spans="1:5" x14ac:dyDescent="0.3">
      <c r="A7" s="15" t="s">
        <v>48</v>
      </c>
      <c r="B7" s="2">
        <v>409062</v>
      </c>
      <c r="C7" s="2">
        <v>236225</v>
      </c>
      <c r="D7" s="2">
        <v>327787</v>
      </c>
      <c r="E7" s="16">
        <v>103660</v>
      </c>
    </row>
    <row r="8" spans="1:5" ht="15" thickBot="1" x14ac:dyDescent="0.35">
      <c r="A8" s="17" t="s">
        <v>49</v>
      </c>
      <c r="B8" s="18">
        <v>231837</v>
      </c>
      <c r="C8" s="18">
        <v>162685</v>
      </c>
      <c r="D8" s="18">
        <v>234668</v>
      </c>
      <c r="E8" s="19">
        <v>53977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35BC-31A9-466D-A6EB-16D302EAC79D}">
  <dimension ref="A3:C11"/>
  <sheetViews>
    <sheetView workbookViewId="0">
      <selection activeCell="I20" sqref="I20"/>
    </sheetView>
  </sheetViews>
  <sheetFormatPr defaultRowHeight="14.4" x14ac:dyDescent="0.3"/>
  <cols>
    <col min="1" max="1" width="12.44140625" bestFit="1" customWidth="1"/>
    <col min="2" max="2" width="23.6640625" bestFit="1" customWidth="1"/>
    <col min="3" max="4" width="29.33203125" bestFit="1" customWidth="1"/>
    <col min="5" max="5" width="10.6640625" bestFit="1" customWidth="1"/>
    <col min="6" max="6" width="8.44140625" bestFit="1" customWidth="1"/>
    <col min="7" max="7" width="6.21875" bestFit="1" customWidth="1"/>
    <col min="8" max="8" width="8.44140625" bestFit="1" customWidth="1"/>
    <col min="9" max="9" width="10.5546875" bestFit="1" customWidth="1"/>
    <col min="10" max="10" width="7.6640625" bestFit="1" customWidth="1"/>
    <col min="11" max="11" width="10" bestFit="1" customWidth="1"/>
    <col min="12" max="12" width="8.44140625" bestFit="1" customWidth="1"/>
    <col min="13" max="13" width="10" bestFit="1" customWidth="1"/>
    <col min="14" max="14" width="7.44140625" bestFit="1" customWidth="1"/>
    <col min="15" max="15" width="8.44140625" bestFit="1" customWidth="1"/>
    <col min="16" max="16" width="10.5546875" bestFit="1" customWidth="1"/>
    <col min="17" max="17" width="9.6640625" bestFit="1" customWidth="1"/>
    <col min="18" max="18" width="10" bestFit="1" customWidth="1"/>
    <col min="19" max="19" width="12" bestFit="1" customWidth="1"/>
    <col min="20" max="20" width="10.77734375" bestFit="1" customWidth="1"/>
    <col min="21" max="21" width="10" bestFit="1" customWidth="1"/>
    <col min="22" max="22" width="13.6640625" bestFit="1" customWidth="1"/>
    <col min="23" max="23" width="10.5546875" bestFit="1" customWidth="1"/>
  </cols>
  <sheetData>
    <row r="3" spans="1:3" x14ac:dyDescent="0.3">
      <c r="A3" s="37" t="s">
        <v>74</v>
      </c>
      <c r="B3" t="s">
        <v>76</v>
      </c>
      <c r="C3" t="s">
        <v>73</v>
      </c>
    </row>
    <row r="4" spans="1:3" x14ac:dyDescent="0.3">
      <c r="A4" s="38" t="s">
        <v>72</v>
      </c>
      <c r="B4" s="36">
        <v>1.3979999999999999</v>
      </c>
      <c r="C4" s="36">
        <v>1</v>
      </c>
    </row>
    <row r="5" spans="1:3" x14ac:dyDescent="0.3">
      <c r="A5" s="38" t="s">
        <v>66</v>
      </c>
      <c r="B5" s="36">
        <v>974</v>
      </c>
      <c r="C5" s="36">
        <v>1</v>
      </c>
    </row>
    <row r="6" spans="1:3" x14ac:dyDescent="0.3">
      <c r="A6" s="38" t="s">
        <v>67</v>
      </c>
      <c r="B6" s="36">
        <v>1.321</v>
      </c>
      <c r="C6" s="36">
        <v>1</v>
      </c>
    </row>
    <row r="7" spans="1:3" x14ac:dyDescent="0.3">
      <c r="A7" s="38" t="s">
        <v>68</v>
      </c>
      <c r="B7" s="36">
        <v>1.5389999999999999</v>
      </c>
      <c r="C7" s="36">
        <v>1</v>
      </c>
    </row>
    <row r="8" spans="1:3" x14ac:dyDescent="0.3">
      <c r="A8" s="38" t="s">
        <v>69</v>
      </c>
      <c r="B8" s="36">
        <v>1.4710000000000001</v>
      </c>
      <c r="C8" s="36">
        <v>1</v>
      </c>
    </row>
    <row r="9" spans="1:3" x14ac:dyDescent="0.3">
      <c r="A9" s="38" t="s">
        <v>70</v>
      </c>
      <c r="B9" s="36">
        <v>1.6419999999999999</v>
      </c>
      <c r="C9" s="36">
        <v>1</v>
      </c>
    </row>
    <row r="10" spans="1:3" x14ac:dyDescent="0.3">
      <c r="A10" s="38" t="s">
        <v>71</v>
      </c>
      <c r="B10" s="36">
        <v>1.655</v>
      </c>
      <c r="C10" s="36">
        <v>1</v>
      </c>
    </row>
    <row r="11" spans="1:3" x14ac:dyDescent="0.3">
      <c r="A11" s="38" t="s">
        <v>75</v>
      </c>
      <c r="B11" s="36">
        <v>983.02600000000007</v>
      </c>
      <c r="C11" s="36">
        <v>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142C-395D-4D69-9E74-3F43B13C5033}">
  <dimension ref="A1:G11"/>
  <sheetViews>
    <sheetView workbookViewId="0">
      <selection activeCell="M11" sqref="M11"/>
    </sheetView>
  </sheetViews>
  <sheetFormatPr defaultRowHeight="14.4" x14ac:dyDescent="0.3"/>
  <cols>
    <col min="1" max="1" width="21.5546875" bestFit="1" customWidth="1"/>
    <col min="2" max="2" width="8.44140625" bestFit="1" customWidth="1"/>
    <col min="3" max="3" width="7" bestFit="1" customWidth="1"/>
    <col min="4" max="4" width="8.109375" bestFit="1" customWidth="1"/>
    <col min="5" max="5" width="11" bestFit="1" customWidth="1"/>
    <col min="6" max="6" width="6" bestFit="1" customWidth="1"/>
    <col min="7" max="7" width="7" bestFit="1" customWidth="1"/>
  </cols>
  <sheetData>
    <row r="1" spans="1:7" x14ac:dyDescent="0.3">
      <c r="A1" s="20" t="s">
        <v>0</v>
      </c>
      <c r="B1" s="21" t="s">
        <v>4</v>
      </c>
      <c r="C1" s="21" t="s">
        <v>50</v>
      </c>
      <c r="D1" s="21" t="s">
        <v>51</v>
      </c>
      <c r="E1" s="21" t="s">
        <v>52</v>
      </c>
      <c r="F1" s="21" t="s">
        <v>53</v>
      </c>
      <c r="G1" s="22" t="s">
        <v>54</v>
      </c>
    </row>
    <row r="2" spans="1:7" x14ac:dyDescent="0.3">
      <c r="A2" s="7" t="s">
        <v>7</v>
      </c>
      <c r="B2" s="3">
        <v>9216</v>
      </c>
      <c r="C2" s="3">
        <v>150077</v>
      </c>
      <c r="D2" s="3">
        <v>11980</v>
      </c>
      <c r="E2" s="3">
        <v>1849</v>
      </c>
      <c r="F2" s="3">
        <v>232</v>
      </c>
      <c r="G2" s="8">
        <v>2018</v>
      </c>
    </row>
    <row r="3" spans="1:7" x14ac:dyDescent="0.3">
      <c r="A3" s="7" t="s">
        <v>8</v>
      </c>
      <c r="B3" s="3">
        <v>29940</v>
      </c>
      <c r="C3" s="3">
        <v>120380</v>
      </c>
      <c r="D3" s="3">
        <v>51345</v>
      </c>
      <c r="E3" s="3">
        <v>20047</v>
      </c>
      <c r="F3" s="3">
        <v>4514</v>
      </c>
      <c r="G3" s="8">
        <v>37507</v>
      </c>
    </row>
    <row r="4" spans="1:7" x14ac:dyDescent="0.3">
      <c r="A4" s="7" t="s">
        <v>10</v>
      </c>
      <c r="B4" s="3">
        <v>26913</v>
      </c>
      <c r="C4" s="3">
        <v>96060</v>
      </c>
      <c r="D4" s="3">
        <v>60649</v>
      </c>
      <c r="E4" s="3">
        <v>20282</v>
      </c>
      <c r="F4" s="3">
        <v>83</v>
      </c>
      <c r="G4" s="8">
        <v>48930</v>
      </c>
    </row>
    <row r="5" spans="1:7" x14ac:dyDescent="0.3">
      <c r="A5" s="7" t="s">
        <v>11</v>
      </c>
      <c r="B5" s="3">
        <v>46581</v>
      </c>
      <c r="C5" s="3">
        <v>528927</v>
      </c>
      <c r="D5" s="3">
        <v>89196</v>
      </c>
      <c r="E5" s="3">
        <v>19398</v>
      </c>
      <c r="F5" s="3">
        <v>531</v>
      </c>
      <c r="G5" s="8">
        <v>9288</v>
      </c>
    </row>
    <row r="6" spans="1:7" x14ac:dyDescent="0.3">
      <c r="A6" s="7" t="s">
        <v>12</v>
      </c>
      <c r="B6" s="3">
        <v>64147</v>
      </c>
      <c r="C6" s="3">
        <v>108390</v>
      </c>
      <c r="D6" s="3">
        <v>28599</v>
      </c>
      <c r="E6" s="3">
        <v>12360</v>
      </c>
      <c r="F6" s="3">
        <v>3029</v>
      </c>
      <c r="G6" s="8">
        <v>27427</v>
      </c>
    </row>
    <row r="7" spans="1:7" x14ac:dyDescent="0.3">
      <c r="A7" s="7" t="s">
        <v>14</v>
      </c>
      <c r="B7" s="3">
        <v>16426</v>
      </c>
      <c r="C7" s="3">
        <v>49638</v>
      </c>
      <c r="D7" s="3">
        <v>27452</v>
      </c>
      <c r="E7" s="3">
        <v>18662</v>
      </c>
      <c r="F7" s="3">
        <v>3194</v>
      </c>
      <c r="G7" s="8">
        <v>17772</v>
      </c>
    </row>
    <row r="8" spans="1:7" x14ac:dyDescent="0.3">
      <c r="A8" s="7" t="s">
        <v>15</v>
      </c>
      <c r="B8" s="3">
        <v>172012</v>
      </c>
      <c r="C8" s="3">
        <v>155874</v>
      </c>
      <c r="D8" s="3">
        <v>157014</v>
      </c>
      <c r="E8" s="3">
        <v>809402</v>
      </c>
      <c r="F8" s="3">
        <v>20532</v>
      </c>
      <c r="G8" s="8">
        <v>168472</v>
      </c>
    </row>
    <row r="9" spans="1:7" x14ac:dyDescent="0.3">
      <c r="A9" s="7" t="s">
        <v>21</v>
      </c>
      <c r="B9" s="3">
        <v>25321</v>
      </c>
      <c r="C9" s="3">
        <v>148980</v>
      </c>
      <c r="D9" s="3">
        <v>78195</v>
      </c>
      <c r="E9" s="3">
        <v>45396</v>
      </c>
      <c r="F9" s="3">
        <v>1521</v>
      </c>
      <c r="G9" s="8">
        <v>27033</v>
      </c>
    </row>
    <row r="10" spans="1:7" x14ac:dyDescent="0.3">
      <c r="A10" s="7" t="s">
        <v>22</v>
      </c>
      <c r="B10" s="3">
        <v>121352</v>
      </c>
      <c r="C10" s="3">
        <v>247872</v>
      </c>
      <c r="D10" s="3">
        <v>225266</v>
      </c>
      <c r="E10" s="3">
        <v>251334</v>
      </c>
      <c r="F10" s="3">
        <v>4870</v>
      </c>
      <c r="G10" s="8">
        <v>277352</v>
      </c>
    </row>
    <row r="11" spans="1:7" ht="15" thickBot="1" x14ac:dyDescent="0.35">
      <c r="A11" s="9" t="s">
        <v>23</v>
      </c>
      <c r="B11" s="10">
        <v>52812</v>
      </c>
      <c r="C11" s="10">
        <v>424017</v>
      </c>
      <c r="D11" s="10">
        <v>145239</v>
      </c>
      <c r="E11" s="10">
        <v>40800</v>
      </c>
      <c r="F11" s="10">
        <v>7362</v>
      </c>
      <c r="G11" s="11">
        <v>20679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8561-0D92-422B-9938-4D6413B8CB11}">
  <dimension ref="A1:E7"/>
  <sheetViews>
    <sheetView workbookViewId="0">
      <selection activeCell="O14" sqref="O14"/>
    </sheetView>
  </sheetViews>
  <sheetFormatPr defaultRowHeight="14.4" x14ac:dyDescent="0.3"/>
  <cols>
    <col min="1" max="1" width="12.44140625" bestFit="1" customWidth="1"/>
    <col min="2" max="2" width="13.44140625" bestFit="1" customWidth="1"/>
    <col min="3" max="3" width="7.6640625" customWidth="1"/>
    <col min="4" max="4" width="9" customWidth="1"/>
    <col min="5" max="5" width="7.88671875" customWidth="1"/>
  </cols>
  <sheetData>
    <row r="1" spans="1:5" x14ac:dyDescent="0.3">
      <c r="A1" s="23" t="s">
        <v>55</v>
      </c>
      <c r="B1" s="24" t="s">
        <v>56</v>
      </c>
      <c r="C1" s="24" t="s">
        <v>57</v>
      </c>
      <c r="D1" s="24" t="s">
        <v>58</v>
      </c>
      <c r="E1" s="25" t="s">
        <v>59</v>
      </c>
    </row>
    <row r="2" spans="1:5" x14ac:dyDescent="0.3">
      <c r="A2" s="26" t="s">
        <v>1</v>
      </c>
      <c r="B2" s="27">
        <v>2</v>
      </c>
      <c r="C2" s="27">
        <v>10</v>
      </c>
      <c r="D2" s="27">
        <v>52</v>
      </c>
      <c r="E2" s="28">
        <v>21</v>
      </c>
    </row>
    <row r="3" spans="1:5" x14ac:dyDescent="0.3">
      <c r="A3" s="26" t="s">
        <v>2</v>
      </c>
      <c r="B3" s="27">
        <v>50</v>
      </c>
      <c r="C3" s="27">
        <v>258</v>
      </c>
      <c r="D3" s="27">
        <v>1811</v>
      </c>
      <c r="E3" s="28">
        <v>1259</v>
      </c>
    </row>
    <row r="4" spans="1:5" x14ac:dyDescent="0.3">
      <c r="A4" s="26" t="s">
        <v>3</v>
      </c>
      <c r="B4" s="27">
        <v>6</v>
      </c>
      <c r="C4" s="27">
        <v>32</v>
      </c>
      <c r="D4" s="27">
        <v>272</v>
      </c>
      <c r="E4" s="28">
        <v>196</v>
      </c>
    </row>
    <row r="5" spans="1:5" x14ac:dyDescent="0.3">
      <c r="A5" s="26" t="s">
        <v>4</v>
      </c>
      <c r="B5" s="27">
        <v>745</v>
      </c>
      <c r="C5" s="27">
        <v>17</v>
      </c>
      <c r="D5" s="27">
        <v>140</v>
      </c>
      <c r="E5" s="28">
        <v>103</v>
      </c>
    </row>
    <row r="6" spans="1:5" x14ac:dyDescent="0.3">
      <c r="A6" s="26" t="s">
        <v>5</v>
      </c>
      <c r="B6" s="27">
        <v>170</v>
      </c>
      <c r="C6" s="27">
        <v>431</v>
      </c>
      <c r="D6" s="27">
        <v>3058</v>
      </c>
      <c r="E6" s="28">
        <v>2143</v>
      </c>
    </row>
    <row r="7" spans="1:5" ht="15" thickBot="1" x14ac:dyDescent="0.35">
      <c r="A7" s="29" t="s">
        <v>6</v>
      </c>
      <c r="B7" s="30">
        <v>17</v>
      </c>
      <c r="C7" s="30">
        <v>7</v>
      </c>
      <c r="D7" s="30">
        <v>104</v>
      </c>
      <c r="E7" s="31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5209-481F-43DF-B0A7-FDFCC05AF1E0}">
  <dimension ref="A1:E6"/>
  <sheetViews>
    <sheetView workbookViewId="0">
      <selection activeCell="I28" sqref="I28"/>
    </sheetView>
  </sheetViews>
  <sheetFormatPr defaultRowHeight="14.4" x14ac:dyDescent="0.3"/>
  <cols>
    <col min="1" max="1" width="8.44140625" bestFit="1" customWidth="1"/>
    <col min="2" max="2" width="12.109375" customWidth="1"/>
    <col min="3" max="3" width="8" bestFit="1" customWidth="1"/>
    <col min="4" max="4" width="16.109375" customWidth="1"/>
    <col min="5" max="5" width="9.109375" customWidth="1"/>
  </cols>
  <sheetData>
    <row r="1" spans="1:5" ht="42" thickBot="1" x14ac:dyDescent="0.35">
      <c r="A1" s="32" t="s">
        <v>60</v>
      </c>
      <c r="B1" s="32" t="s">
        <v>40</v>
      </c>
      <c r="C1" s="32" t="s">
        <v>38</v>
      </c>
      <c r="D1" s="32" t="s">
        <v>39</v>
      </c>
      <c r="E1" s="33" t="s">
        <v>41</v>
      </c>
    </row>
    <row r="2" spans="1:5" ht="15" thickBot="1" x14ac:dyDescent="0.35">
      <c r="A2" s="32" t="s">
        <v>61</v>
      </c>
      <c r="B2" s="34">
        <v>1.163</v>
      </c>
      <c r="C2" s="34">
        <v>1.3009999999999999</v>
      </c>
      <c r="D2" s="34">
        <v>1.3580000000000001</v>
      </c>
      <c r="E2" s="35">
        <v>509</v>
      </c>
    </row>
    <row r="3" spans="1:5" ht="28.2" thickBot="1" x14ac:dyDescent="0.35">
      <c r="A3" s="32" t="s">
        <v>62</v>
      </c>
      <c r="B3" s="34">
        <v>601</v>
      </c>
      <c r="C3" s="34">
        <v>562</v>
      </c>
      <c r="D3" s="34">
        <v>312</v>
      </c>
      <c r="E3" s="35">
        <v>100</v>
      </c>
    </row>
    <row r="4" spans="1:5" ht="28.2" thickBot="1" x14ac:dyDescent="0.35">
      <c r="A4" s="32" t="s">
        <v>63</v>
      </c>
      <c r="B4" s="34">
        <v>485</v>
      </c>
      <c r="C4" s="34">
        <v>514</v>
      </c>
      <c r="D4" s="34">
        <v>446</v>
      </c>
      <c r="E4" s="35">
        <v>188</v>
      </c>
    </row>
    <row r="5" spans="1:5" ht="15" thickBot="1" x14ac:dyDescent="0.35">
      <c r="A5" s="32" t="s">
        <v>64</v>
      </c>
      <c r="B5" s="34">
        <v>470</v>
      </c>
      <c r="C5" s="34">
        <v>424</v>
      </c>
      <c r="D5" s="34">
        <v>279</v>
      </c>
      <c r="E5" s="35">
        <v>119</v>
      </c>
    </row>
    <row r="6" spans="1:5" ht="15" thickBot="1" x14ac:dyDescent="0.35">
      <c r="A6" s="32" t="s">
        <v>65</v>
      </c>
      <c r="B6" s="34">
        <v>29</v>
      </c>
      <c r="C6" s="34">
        <v>35</v>
      </c>
      <c r="D6" s="34">
        <v>28</v>
      </c>
      <c r="E6" s="35">
        <v>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A1F9-01EE-466B-A87A-3790D46340AD}">
  <dimension ref="A1:D21"/>
  <sheetViews>
    <sheetView workbookViewId="0">
      <selection activeCell="T15" sqref="T15"/>
    </sheetView>
  </sheetViews>
  <sheetFormatPr defaultRowHeight="14.4" x14ac:dyDescent="0.3"/>
  <cols>
    <col min="2" max="2" width="14.88671875" customWidth="1"/>
  </cols>
  <sheetData>
    <row r="1" spans="1:4" x14ac:dyDescent="0.3">
      <c r="A1" s="12" t="s">
        <v>0</v>
      </c>
      <c r="B1" s="13" t="s">
        <v>4</v>
      </c>
      <c r="C1" s="13" t="s">
        <v>26</v>
      </c>
      <c r="D1" s="14" t="s">
        <v>27</v>
      </c>
    </row>
    <row r="2" spans="1:4" x14ac:dyDescent="0.3">
      <c r="A2" s="15" t="s">
        <v>7</v>
      </c>
      <c r="B2" s="2">
        <v>2953</v>
      </c>
      <c r="C2" s="2">
        <v>49728</v>
      </c>
      <c r="D2" s="16">
        <v>122691</v>
      </c>
    </row>
    <row r="3" spans="1:4" x14ac:dyDescent="0.3">
      <c r="A3" s="15" t="s">
        <v>8</v>
      </c>
      <c r="B3" s="2">
        <v>7752</v>
      </c>
      <c r="C3" s="2">
        <v>25239</v>
      </c>
      <c r="D3" s="16">
        <v>230742</v>
      </c>
    </row>
    <row r="4" spans="1:4" x14ac:dyDescent="0.3">
      <c r="A4" s="15" t="s">
        <v>9</v>
      </c>
      <c r="B4" s="2">
        <v>46</v>
      </c>
      <c r="C4" s="2">
        <v>25</v>
      </c>
      <c r="D4" s="16">
        <v>3139</v>
      </c>
    </row>
    <row r="5" spans="1:4" x14ac:dyDescent="0.3">
      <c r="A5" s="15" t="s">
        <v>10</v>
      </c>
      <c r="B5" s="2">
        <v>5835</v>
      </c>
      <c r="C5" s="2">
        <v>49184</v>
      </c>
      <c r="D5" s="16">
        <v>197898</v>
      </c>
    </row>
    <row r="6" spans="1:4" x14ac:dyDescent="0.3">
      <c r="A6" s="15" t="s">
        <v>11</v>
      </c>
      <c r="B6" s="2">
        <v>22464</v>
      </c>
      <c r="C6" s="2">
        <v>79329</v>
      </c>
      <c r="D6" s="16">
        <v>592128</v>
      </c>
    </row>
    <row r="7" spans="1:4" x14ac:dyDescent="0.3">
      <c r="A7" s="15" t="s">
        <v>12</v>
      </c>
      <c r="B7" s="2">
        <v>3913</v>
      </c>
      <c r="C7" s="2">
        <v>5522</v>
      </c>
      <c r="D7" s="16">
        <v>234564</v>
      </c>
    </row>
    <row r="8" spans="1:4" x14ac:dyDescent="0.3">
      <c r="A8" s="15" t="s">
        <v>13</v>
      </c>
      <c r="B8" s="2">
        <v>1020</v>
      </c>
      <c r="C8" s="2">
        <v>2395</v>
      </c>
      <c r="D8" s="16">
        <v>13990</v>
      </c>
    </row>
    <row r="9" spans="1:4" x14ac:dyDescent="0.3">
      <c r="A9" s="15" t="s">
        <v>14</v>
      </c>
      <c r="B9" s="2">
        <v>3028</v>
      </c>
      <c r="C9" s="2">
        <v>28550</v>
      </c>
      <c r="D9" s="16">
        <v>101566</v>
      </c>
    </row>
    <row r="10" spans="1:4" x14ac:dyDescent="0.3">
      <c r="A10" s="15" t="s">
        <v>15</v>
      </c>
      <c r="B10" s="2">
        <v>56748</v>
      </c>
      <c r="C10" s="2">
        <v>61922</v>
      </c>
      <c r="D10" s="16">
        <v>1364982</v>
      </c>
    </row>
    <row r="11" spans="1:4" x14ac:dyDescent="0.3">
      <c r="A11" s="15" t="s">
        <v>16</v>
      </c>
      <c r="B11" s="2">
        <v>405</v>
      </c>
      <c r="C11" s="2">
        <v>0</v>
      </c>
      <c r="D11" s="16">
        <v>9339</v>
      </c>
    </row>
    <row r="12" spans="1:4" x14ac:dyDescent="0.3">
      <c r="A12" s="15" t="s">
        <v>17</v>
      </c>
      <c r="B12" s="2">
        <v>0</v>
      </c>
      <c r="C12" s="2">
        <v>72</v>
      </c>
      <c r="D12" s="16">
        <v>210</v>
      </c>
    </row>
    <row r="13" spans="1:4" x14ac:dyDescent="0.3">
      <c r="A13" s="15" t="s">
        <v>18</v>
      </c>
      <c r="B13" s="2">
        <v>394</v>
      </c>
      <c r="C13" s="2">
        <v>1386</v>
      </c>
      <c r="D13" s="16">
        <v>12262</v>
      </c>
    </row>
    <row r="14" spans="1:4" x14ac:dyDescent="0.3">
      <c r="A14" s="15" t="s">
        <v>19</v>
      </c>
      <c r="B14" s="2">
        <v>523</v>
      </c>
      <c r="C14" s="2">
        <v>258</v>
      </c>
      <c r="D14" s="16">
        <v>1672</v>
      </c>
    </row>
    <row r="15" spans="1:4" x14ac:dyDescent="0.3">
      <c r="A15" s="15" t="s">
        <v>20</v>
      </c>
      <c r="B15" s="2">
        <v>928</v>
      </c>
      <c r="C15" s="2">
        <v>2806</v>
      </c>
      <c r="D15" s="16">
        <v>33774</v>
      </c>
    </row>
    <row r="16" spans="1:4" x14ac:dyDescent="0.3">
      <c r="A16" s="15" t="s">
        <v>21</v>
      </c>
      <c r="B16" s="2">
        <v>7462</v>
      </c>
      <c r="C16" s="2">
        <v>15151</v>
      </c>
      <c r="D16" s="16">
        <v>303833</v>
      </c>
    </row>
    <row r="17" spans="1:4" x14ac:dyDescent="0.3">
      <c r="A17" s="15" t="s">
        <v>22</v>
      </c>
      <c r="B17" s="2">
        <v>13534</v>
      </c>
      <c r="C17" s="2">
        <v>71924</v>
      </c>
      <c r="D17" s="16">
        <v>1043420</v>
      </c>
    </row>
    <row r="18" spans="1:4" x14ac:dyDescent="0.3">
      <c r="A18" s="15" t="s">
        <v>23</v>
      </c>
      <c r="B18" s="2">
        <v>3135</v>
      </c>
      <c r="C18" s="2">
        <v>105039</v>
      </c>
      <c r="D18" s="16">
        <v>582753</v>
      </c>
    </row>
    <row r="19" spans="1:4" x14ac:dyDescent="0.3">
      <c r="A19" s="15" t="s">
        <v>4</v>
      </c>
      <c r="B19" s="2">
        <v>0</v>
      </c>
      <c r="C19" s="2">
        <v>0</v>
      </c>
      <c r="D19" s="16">
        <v>0</v>
      </c>
    </row>
    <row r="20" spans="1:4" x14ac:dyDescent="0.3">
      <c r="A20" s="15" t="s">
        <v>24</v>
      </c>
      <c r="B20" s="2">
        <v>46</v>
      </c>
      <c r="C20" s="2">
        <v>404</v>
      </c>
      <c r="D20" s="16">
        <v>4689</v>
      </c>
    </row>
    <row r="21" spans="1:4" ht="15" thickBot="1" x14ac:dyDescent="0.35">
      <c r="A21" s="17" t="s">
        <v>25</v>
      </c>
      <c r="B21" s="18">
        <v>0</v>
      </c>
      <c r="C21" s="18">
        <v>0</v>
      </c>
      <c r="D21" s="19">
        <v>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4909-5000-441C-BC49-1BD2BAA30DC5}">
  <dimension ref="A1:K6"/>
  <sheetViews>
    <sheetView workbookViewId="0">
      <selection activeCell="M30" sqref="M30"/>
    </sheetView>
  </sheetViews>
  <sheetFormatPr defaultRowHeight="14.4" x14ac:dyDescent="0.3"/>
  <cols>
    <col min="1" max="1" width="15.77734375" customWidth="1"/>
    <col min="2" max="2" width="12.33203125" customWidth="1"/>
    <col min="3" max="3" width="12" customWidth="1"/>
    <col min="5" max="5" width="10.44140625" customWidth="1"/>
    <col min="11" max="11" width="12.21875" customWidth="1"/>
  </cols>
  <sheetData>
    <row r="1" spans="1:11" x14ac:dyDescent="0.3">
      <c r="A1" s="12" t="s">
        <v>28</v>
      </c>
      <c r="B1" s="13" t="s">
        <v>4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4" t="s">
        <v>37</v>
      </c>
    </row>
    <row r="2" spans="1:11" x14ac:dyDescent="0.3">
      <c r="A2" s="15" t="s">
        <v>38</v>
      </c>
      <c r="B2" s="2">
        <v>70</v>
      </c>
      <c r="C2" s="2">
        <v>205</v>
      </c>
      <c r="D2" s="2">
        <v>91</v>
      </c>
      <c r="E2" s="2">
        <v>1145</v>
      </c>
      <c r="F2" s="2">
        <v>332</v>
      </c>
      <c r="G2" s="2">
        <v>235</v>
      </c>
      <c r="H2" s="2">
        <v>297</v>
      </c>
      <c r="I2" s="2">
        <v>109</v>
      </c>
      <c r="J2" s="2">
        <v>78</v>
      </c>
      <c r="K2" s="16">
        <v>598</v>
      </c>
    </row>
    <row r="3" spans="1:11" x14ac:dyDescent="0.3">
      <c r="A3" s="15" t="s">
        <v>39</v>
      </c>
      <c r="B3" s="2">
        <v>72</v>
      </c>
      <c r="C3" s="2">
        <v>176</v>
      </c>
      <c r="D3" s="2">
        <v>90</v>
      </c>
      <c r="E3" s="2">
        <v>990</v>
      </c>
      <c r="F3" s="2">
        <v>265</v>
      </c>
      <c r="G3" s="2">
        <v>191</v>
      </c>
      <c r="H3" s="2">
        <v>249</v>
      </c>
      <c r="I3" s="2">
        <v>92</v>
      </c>
      <c r="J3" s="2">
        <v>63</v>
      </c>
      <c r="K3" s="16">
        <v>528</v>
      </c>
    </row>
    <row r="4" spans="1:11" x14ac:dyDescent="0.3">
      <c r="A4" s="15" t="s">
        <v>40</v>
      </c>
      <c r="B4" s="2">
        <v>85</v>
      </c>
      <c r="C4" s="2">
        <v>221</v>
      </c>
      <c r="D4" s="2">
        <v>87</v>
      </c>
      <c r="E4" s="2">
        <v>1136</v>
      </c>
      <c r="F4" s="2">
        <v>300</v>
      </c>
      <c r="G4" s="2">
        <v>258</v>
      </c>
      <c r="H4" s="2">
        <v>283</v>
      </c>
      <c r="I4" s="2">
        <v>108</v>
      </c>
      <c r="J4" s="2">
        <v>66</v>
      </c>
      <c r="K4" s="16">
        <v>541</v>
      </c>
    </row>
    <row r="5" spans="1:11" x14ac:dyDescent="0.3">
      <c r="A5" s="15" t="s">
        <v>41</v>
      </c>
      <c r="B5" s="2">
        <v>36</v>
      </c>
      <c r="C5" s="2">
        <v>88</v>
      </c>
      <c r="D5" s="2">
        <v>24</v>
      </c>
      <c r="E5" s="2">
        <v>383</v>
      </c>
      <c r="F5" s="2">
        <v>104</v>
      </c>
      <c r="G5" s="2">
        <v>79</v>
      </c>
      <c r="H5" s="2">
        <v>89</v>
      </c>
      <c r="I5" s="2">
        <v>35</v>
      </c>
      <c r="J5" s="2">
        <v>23</v>
      </c>
      <c r="K5" s="16">
        <v>178</v>
      </c>
    </row>
    <row r="6" spans="1:11" ht="15" thickBot="1" x14ac:dyDescent="0.35">
      <c r="A6" s="17" t="s">
        <v>4</v>
      </c>
      <c r="B6" s="18">
        <v>526</v>
      </c>
      <c r="C6" s="18">
        <v>16</v>
      </c>
      <c r="D6" s="18">
        <v>9</v>
      </c>
      <c r="E6" s="18">
        <v>97</v>
      </c>
      <c r="F6" s="18">
        <v>33</v>
      </c>
      <c r="G6" s="18">
        <v>26</v>
      </c>
      <c r="H6" s="18">
        <v>30</v>
      </c>
      <c r="I6" s="18">
        <v>9</v>
      </c>
      <c r="J6" s="18">
        <v>4</v>
      </c>
      <c r="K6" s="19">
        <v>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160afe-d2f8-4cbd-b9d1-5135fc7b07d9}" enabled="0" method="" siteId="{44160afe-d2f8-4cbd-b9d1-5135fc7b07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ChannelViews by AgeCohort</vt:lpstr>
      <vt:lpstr>Rce by Time of Day</vt:lpstr>
      <vt:lpstr>Daily Engagements</vt:lpstr>
      <vt:lpstr>Sheet9</vt:lpstr>
      <vt:lpstr>Channel by race</vt:lpstr>
      <vt:lpstr>View Trends by Age Cohort</vt:lpstr>
      <vt:lpstr>TimeViewership by Race</vt:lpstr>
      <vt:lpstr>ChannelView by Gender</vt:lpstr>
      <vt:lpstr>Primetime by Province</vt:lpstr>
      <vt:lpstr>'ChannelViews by AgeCohort'!Print_Area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Kometsi Khotlele</dc:creator>
  <cp:lastModifiedBy>Kometsi Khotlele</cp:lastModifiedBy>
  <dcterms:created xsi:type="dcterms:W3CDTF">2026-04-19T16:27:43Z</dcterms:created>
  <dcterms:modified xsi:type="dcterms:W3CDTF">2026-04-19T19:07:39Z</dcterms:modified>
</cp:coreProperties>
</file>